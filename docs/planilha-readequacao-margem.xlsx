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" sheetId="1" r:id="rId5"/>
    <sheet state="visible" name="SE 40%" sheetId="2" r:id="rId6"/>
    <sheet state="visible" name="SE 35-5" sheetId="3" r:id="rId7"/>
    <sheet state="visible" name="CONTRACHEQUE" sheetId="4" r:id="rId8"/>
    <sheet state="visible" name="REGRAS" sheetId="5" r:id="rId9"/>
    <sheet state="hidden" name="LISTAS" sheetId="6" r:id="rId10"/>
  </sheets>
  <definedNames/>
  <calcPr/>
</workbook>
</file>

<file path=xl/sharedStrings.xml><?xml version="1.0" encoding="utf-8"?>
<sst xmlns="http://schemas.openxmlformats.org/spreadsheetml/2006/main" count="356" uniqueCount="183">
  <si>
    <t>CONTRACHEQUE — LANÇAMENTO DAS RUBRICAS</t>
  </si>
  <si>
    <t>Cliente:</t>
  </si>
  <si>
    <t>COMO USAR: cole/digite as rubricas do contracheque nas colunas A a D (Tipo: P = provento; D = desconto). A classificação é automática pela aba REGRAS. Se alguma aparecer como REVISAR, escolha a classificação na coluna F (manual), que prevalece sobre a automática.</t>
  </si>
  <si>
    <t>Órgão pagador:</t>
  </si>
  <si>
    <t>Competência:</t>
  </si>
  <si>
    <t>Código</t>
  </si>
  <si>
    <t>Descrição da rubrica</t>
  </si>
  <si>
    <t>Tipo (P/D)</t>
  </si>
  <si>
    <t>Valor (R$)</t>
  </si>
  <si>
    <t>Classificação automática</t>
  </si>
  <si>
    <t>Classificação manual (opcional)</t>
  </si>
  <si>
    <t>CLASSIFICAÇÃO FINAL</t>
  </si>
  <si>
    <t>ANÁLISE SEGMENTADA DE SITUAÇÃO FINANCEIRA</t>
  </si>
  <si>
    <t>DESCONTOS OBRIGATÓRIOS</t>
  </si>
  <si>
    <t>CONSIGNAÇÕES — TETO GLOBAL DE 40% (DECRETO 50.516/2026, ART. 10)</t>
  </si>
  <si>
    <t>Renda bruta:</t>
  </si>
  <si>
    <t>Rubrica</t>
  </si>
  <si>
    <t>Valor</t>
  </si>
  <si>
    <t>Rubrica / Instituição</t>
  </si>
  <si>
    <t>Modalidade</t>
  </si>
  <si>
    <t>Desconto mensal</t>
  </si>
  <si>
    <t>COMPARATIVO DE CENÁRIOS — POSSIBILIDADES REAIS DE REDUÇÃO</t>
  </si>
  <si>
    <t>Descontos obrigatórios:</t>
  </si>
  <si>
    <t>Fator A</t>
  </si>
  <si>
    <t>1. BASE DE CÁLCULO</t>
  </si>
  <si>
    <t>Renda bruta (proventos)</t>
  </si>
  <si>
    <t>(–) Descontos obrigatórios</t>
  </si>
  <si>
    <t>(=) Renda líquida — base da margem</t>
  </si>
  <si>
    <t>2. CONSIGNAÇÕES POR MODALIDADE — COMO CADA TESE AS TRATA</t>
  </si>
  <si>
    <t>Desconto atual</t>
  </si>
  <si>
    <t>% da renda líquida</t>
  </si>
  <si>
    <t>Cenário A — após (teto global 40%)</t>
  </si>
  <si>
    <t>Cenário B — margem (%)</t>
  </si>
  <si>
    <t>Cenário B — margem (R$)</t>
  </si>
  <si>
    <t>Cenário B — após (35% + 5%)</t>
  </si>
  <si>
    <t>EMPRÉSTIMO CONSIGNADO</t>
  </si>
  <si>
    <t>CARTÃO CONSIGNADO</t>
  </si>
  <si>
    <t>CONSIGNAÇÕES — MARGENS SEGMENTADAS (DECRETO 50.516/2026, ART. 10, I E II)</t>
  </si>
  <si>
    <t>CARTÃO BENEFÍCIO</t>
  </si>
  <si>
    <t>Margem legal (%)</t>
  </si>
  <si>
    <t>Margem legal (R$)</t>
  </si>
  <si>
    <t>Excesso</t>
  </si>
  <si>
    <t>Situação</t>
  </si>
  <si>
    <t>Renda líquida:</t>
  </si>
  <si>
    <t>TOTAL</t>
  </si>
  <si>
    <t>3. QUADRO-RESUMO PARA A REUNIÃO</t>
  </si>
  <si>
    <t>Indicador</t>
  </si>
  <si>
    <t>Situação atual</t>
  </si>
  <si>
    <t>CENÁRIO A — Teto global 40%</t>
  </si>
  <si>
    <t>CENÁRIO B — Margens 35% + 5%</t>
  </si>
  <si>
    <t>Desconto mensal com consignações</t>
  </si>
  <si>
    <t>Comprometimento da renda líquida</t>
  </si>
  <si>
    <t>REDUÇÃO MENSAL DA PRESTAÇÃO</t>
  </si>
  <si>
    <t>Redução acumulada em 12 meses</t>
  </si>
  <si>
    <t>Renda livre mensal</t>
  </si>
  <si>
    <t>Aumento da renda livre</t>
  </si>
  <si>
    <t>Consignações dentro das margens (35% + 5%):</t>
  </si>
  <si>
    <t>Potencial de restituição em dobro (por 12 meses de excesso)</t>
  </si>
  <si>
    <t>EXCESSO acima das margens segmentadas:</t>
  </si>
  <si>
    <t>Total livre:</t>
  </si>
  <si>
    <t>Total de consignações (emp. + cartões):</t>
  </si>
  <si>
    <t>Consignações dentro da margem de 40%:</t>
  </si>
  <si>
    <t>• Célula amarela (J5) = margem de 35% (empréstimo consignado + cartão benefício); J6 = 5% exclusivo do cartão de crédito consignado. Conforme art. 10, I e II, do Decreto Estadual nº 50.516/2026.</t>
  </si>
  <si>
    <t>• Empréstimo consignado e cartão benefício dividem a mesma margem de 35%; o cartão de crédito consignado tem margem própria de 5%, sem compensação com a folga dos 35%. Teto global: 40%.</t>
  </si>
  <si>
    <t>DA RENDA LÍQUIDA COMPROMETIDA COM CONSIGNAÇÕES</t>
  </si>
  <si>
    <t>• Empréstimo pessoal não entra: classifique-o como EMPRÉSTIMO PESSOAL ou NÃO CONSIDERAR na aba CONTRACHEQUE.</t>
  </si>
  <si>
    <t>4. PROJEÇÃO POR CONTRATO / RUBRICA</t>
  </si>
  <si>
    <t>DÍVIDA MENSAL ATUAL (consignações):</t>
  </si>
  <si>
    <t>Cenário A — nova parcela</t>
  </si>
  <si>
    <t>Cenário A — redução</t>
  </si>
  <si>
    <t>Cenário B — nova parcela</t>
  </si>
  <si>
    <t>Cenário B — redução</t>
  </si>
  <si>
    <t>REDUÇÃO MENSAL DE PRESTAÇÃO:</t>
  </si>
  <si>
    <t>DÍVIDA MENSAL APÓS PROCESSO (35% + 5%):</t>
  </si>
  <si>
    <t>EXPECTATIVA DE RENDA LIVRE:</t>
  </si>
  <si>
    <t>• Cenário B: margens segmentadas do Decreto nº 50.516/2026, art. 10, I e II — até 35% para empréstimo consignado e demais consignações facultativas (inclui o cartão benefício) e até 5% exclusivamente para o cartão de crédito consignado, sobre a renda líquida (art. 11).</t>
  </si>
  <si>
    <t>• Compare com o Cenário A (teto global de 40%, art. 10, caput) na aba SE 40% e no quadro da aba COMPARATIVO.</t>
  </si>
  <si>
    <t>• Esta aba é 100% automática: alimente apenas a aba CONTRACHEQUE (e, se quiser, os percentuais em amarelo).</t>
  </si>
  <si>
    <t>EXCESSO acima da margem de 40%:</t>
  </si>
  <si>
    <t>REGRAS DE CLASSIFICAÇÃO AUTOMÁTICA DAS RUBRICAS</t>
  </si>
  <si>
    <t>A rubrica do contracheque é classificada pela PRIMEIRA palavra-chave desta lista que aparecer na descrição (ordem de cima para baixo = prioridade). Acrescente ou edite palavras-chave nas linhas livres. Rubricas lançadas como Provento (P) são classificadas automaticamente.</t>
  </si>
  <si>
    <t>Palavra-chave (contida na descrição)</t>
  </si>
  <si>
    <t>Classificação</t>
  </si>
  <si>
    <t>Observação</t>
  </si>
  <si>
    <t>CARTAO BENEF</t>
  </si>
  <si>
    <t>Cartão benefício / RCC — antes do cartão consignado</t>
  </si>
  <si>
    <t>CARTÃO BENEF</t>
  </si>
  <si>
    <t>CART BENEF</t>
  </si>
  <si>
    <t>CART. BENEF</t>
  </si>
  <si>
    <t>CARTAO-BENEF</t>
  </si>
  <si>
    <t>BENEFICIO CART</t>
  </si>
  <si>
    <t>BENEFÍCIO CART</t>
  </si>
  <si>
    <t>RCC</t>
  </si>
  <si>
    <t>RMC</t>
  </si>
  <si>
    <t>Cartão de crédito consignado / RMC</t>
  </si>
  <si>
    <t>CARTAO</t>
  </si>
  <si>
    <t>CARTÃO</t>
  </si>
  <si>
    <t>CART CRED</t>
  </si>
  <si>
    <t>CART. CRED</t>
  </si>
  <si>
    <t>CRED CART</t>
  </si>
  <si>
    <t>EMPREST</t>
  </si>
  <si>
    <t>Nomes de bancos por último</t>
  </si>
  <si>
    <t>EMPRÉST</t>
  </si>
  <si>
    <t>EMP CONSIG</t>
  </si>
  <si>
    <t>EMP. CONSIG</t>
  </si>
  <si>
    <t>CONSIG</t>
  </si>
  <si>
    <t>FINANC</t>
  </si>
  <si>
    <t>BRADESCO</t>
  </si>
  <si>
    <t>SANTANDER</t>
  </si>
  <si>
    <t>ITAU</t>
  </si>
  <si>
    <t>ITAÚ</t>
  </si>
  <si>
    <t>BMG</t>
  </si>
  <si>
    <t>BANCO PAN</t>
  </si>
  <si>
    <t>BCO PAN</t>
  </si>
  <si>
    <t>DAYCOVAL</t>
  </si>
  <si>
    <t>MASTER</t>
  </si>
  <si>
    <t>CAIXA</t>
  </si>
  <si>
    <t>CEF</t>
  </si>
  <si>
    <t>BANRISUL</t>
  </si>
  <si>
    <t>SAFRA</t>
  </si>
  <si>
    <t>MERCANTIL</t>
  </si>
  <si>
    <t>CREFISA</t>
  </si>
  <si>
    <t>PKL</t>
  </si>
  <si>
    <t>CAPEMISA</t>
  </si>
  <si>
    <t>POUPEX</t>
  </si>
  <si>
    <t>BANCO DO BRASIL</t>
  </si>
  <si>
    <t>BCO BRASIL</t>
  </si>
  <si>
    <t>BCO DO BRASIL</t>
  </si>
  <si>
    <t>BANCO</t>
  </si>
  <si>
    <t>BCO</t>
  </si>
  <si>
    <t>IMP RENDA</t>
  </si>
  <si>
    <t>DESCONTO OBRIGATÓRIO</t>
  </si>
  <si>
    <t>Tributos, previdência, saúde e determinações judiciais</t>
  </si>
  <si>
    <t>IMP. RENDA</t>
  </si>
  <si>
    <t>IMPOSTO</t>
  </si>
  <si>
    <t>IRRF</t>
  </si>
  <si>
    <t>IRPF</t>
  </si>
  <si>
    <t>PENSAO MILIT</t>
  </si>
  <si>
    <t>PENSÃO MILIT</t>
  </si>
  <si>
    <t>PENS MILIT</t>
  </si>
  <si>
    <t>CONTR MILIT</t>
  </si>
  <si>
    <t>CONTR. MILIT</t>
  </si>
  <si>
    <t>CONTRIB MILIT</t>
  </si>
  <si>
    <t>CONTRIB. MILIT</t>
  </si>
  <si>
    <t>CONTR PREV</t>
  </si>
  <si>
    <t>CONTRIB PREV</t>
  </si>
  <si>
    <t>PREVIDEN</t>
  </si>
  <si>
    <t>RIOPREV</t>
  </si>
  <si>
    <t>PSS</t>
  </si>
  <si>
    <t>FUSMA</t>
  </si>
  <si>
    <t>FUSEX</t>
  </si>
  <si>
    <t>FUNSA</t>
  </si>
  <si>
    <t>FUNDO SAUDE</t>
  </si>
  <si>
    <t>FUNDO DE SAUDE</t>
  </si>
  <si>
    <t>FUNDO SAÚDE</t>
  </si>
  <si>
    <t>FUNSAUDE</t>
  </si>
  <si>
    <t>PENSAO ALIM</t>
  </si>
  <si>
    <t>PENSÃO ALIM</t>
  </si>
  <si>
    <t>PENS ALIM</t>
  </si>
  <si>
    <t>DET JUD</t>
  </si>
  <si>
    <t>DET. JUD</t>
  </si>
  <si>
    <t>DETERM JUD</t>
  </si>
  <si>
    <t>Classificações</t>
  </si>
  <si>
    <t>Tipo</t>
  </si>
  <si>
    <t>PROVENTO</t>
  </si>
  <si>
    <t>P</t>
  </si>
  <si>
    <t>D</t>
  </si>
  <si>
    <t>EMPRÉSTIMO PESSOAL</t>
  </si>
  <si>
    <t>NÃO CONSIDERAR</t>
  </si>
  <si>
    <t>PARÂMETROS</t>
  </si>
  <si>
    <t>Teto global — Decreto 50.516/2026, art. 10</t>
  </si>
  <si>
    <t>DÍVIDA MENSAL APÓS PROCESSO (40%):</t>
  </si>
  <si>
    <t>• Empréstimos pessoais não entram: classifique-os como EMPRÉSTIMO PESSOAL ou NÃO CONSIDERAR na aba CONTRACHEQUE.</t>
  </si>
  <si>
    <t>• Teto global de 40% sobre a renda líquida (art. 10, caput, e art. 11 do Decreto nº 50.516/2026), abrangendo empréstimo consignado, cartão de crédito consignado e cartão benefício.</t>
  </si>
  <si>
    <t>• Esta aba é 100% automática: alimente apenas a aba CONTRACHEQUE (e, se quiser, o percentual da margem em amarelo).</t>
  </si>
  <si>
    <t>• Cenário A: o excesso sobre o teto global de 40% da renda líquida (Decreto 50.516/2026, art. 10, caput) é reduzido proporcionalmente entre todos os contratos (empréstimos e cartões).</t>
  </si>
  <si>
    <t>• Cenário B: empréstimo consignado + cartão benefício são reduzidos até a margem comum de 35%, e o cartão de crédito consignado até 5% (art. 10, I e II), proporcionalmente entre os contratos de cada grupo.</t>
  </si>
  <si>
    <t>• A restituição em dobro é estimativa por 12 meses de excesso (art. 42, par. único, CDC); o valor real depende do histórico de descontos, a apurar em liquidação.</t>
  </si>
  <si>
    <t>• Aba 100% automática: alimente apenas a aba CONTRACHEQUE. Os percentuais das margens ficam em amarelo nas abas SE 40% e SE 35-5. Base legal: Decreto Estadual (RJ) nº 50.516/2026, arts. 10 e 11 (margem sobre a renda líquida, após descontos obrigatórios).</t>
  </si>
  <si>
    <t>Total de proventos</t>
  </si>
  <si>
    <t>Total de descontos obrigatórios</t>
  </si>
  <si>
    <t>Total de consignações (emp. + cartões)</t>
  </si>
  <si>
    <t>Rubricas pendentes de revisão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</si>
</sst>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;&quot;-R$ &quot;#,##0.00;\-"/>
  </numFmts>
  <fonts count="27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10233F"/>
      <name val="Arial"/>
    </font>
    <font>
      <sz val="10.0"/>
      <color rgb="FF0000FF"/>
      <name val="Arial"/>
    </font>
    <font>
      <i/>
      <sz val="8.0"/>
      <color rgb="FF10233F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595959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8.0"/>
      <color rgb="FFFFFFFF"/>
      <name val="Arial"/>
    </font>
    <font>
      <color theme="1"/>
      <name val="Calibri"/>
    </font>
    <font>
      <sz val="10.0"/>
      <color rgb="FF008000"/>
      <name val="Arial"/>
    </font>
    <font>
      <b/>
      <sz val="10.0"/>
      <color rgb="FF008000"/>
      <name val="Arial"/>
    </font>
    <font>
      <sz val="10.0"/>
      <color rgb="FF10233F"/>
      <name val="Arial"/>
    </font>
    <font>
      <b/>
      <sz val="10.0"/>
      <color rgb="FFC00000"/>
      <name val="Arial"/>
    </font>
    <font>
      <b/>
      <sz val="10.0"/>
      <color rgb="FF006100"/>
      <name val="Arial"/>
    </font>
    <font>
      <b/>
      <sz val="12.0"/>
      <color rgb="FFC00000"/>
      <name val="Arial"/>
    </font>
    <font>
      <sz val="10.0"/>
      <color rgb="FFC00000"/>
      <name val="Arial"/>
    </font>
    <font>
      <i/>
      <sz val="9.0"/>
      <color rgb="FF595959"/>
      <name val="Arial"/>
    </font>
    <font>
      <sz val="8.0"/>
      <color rgb="FF7F7F7F"/>
      <name val="Arial"/>
    </font>
    <font>
      <sz val="11.0"/>
      <color theme="1"/>
      <name val="Calibri"/>
    </font>
    <font>
      <i/>
      <sz val="8.0"/>
      <color rgb="FF595959"/>
      <name val="Arial"/>
    </font>
    <font>
      <b/>
      <sz val="9.0"/>
      <color rgb="FFC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0233F"/>
        <bgColor rgb="FF10233F"/>
      </patternFill>
    </fill>
    <fill>
      <patternFill patternType="solid">
        <fgColor rgb="FFF4EEE2"/>
        <bgColor rgb="FFF4EEE2"/>
      </patternFill>
    </fill>
    <fill>
      <patternFill patternType="solid">
        <fgColor rgb="FFFFF2CC"/>
        <bgColor rgb="FFFFF2CC"/>
      </patternFill>
    </fill>
    <fill>
      <patternFill patternType="solid">
        <fgColor rgb="FFC9A45C"/>
        <bgColor rgb="FFC9A45C"/>
      </patternFill>
    </fill>
    <fill>
      <patternFill patternType="solid">
        <fgColor rgb="FF595959"/>
        <bgColor rgb="FF595959"/>
      </patternFill>
    </fill>
  </fills>
  <borders count="21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</border>
    <border>
      <top/>
    </border>
    <border>
      <left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shrinkToFit="0" vertical="center" wrapText="1"/>
    </xf>
    <xf borderId="8" fillId="0" fontId="2" numFmtId="0" xfId="0" applyBorder="1" applyFont="1"/>
    <xf borderId="9" fillId="0" fontId="2" numFmtId="0" xfId="0" applyBorder="1" applyFont="1"/>
    <xf borderId="3" fillId="2" fontId="6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4" numFmtId="164" xfId="0" applyAlignment="1" applyBorder="1" applyFont="1" applyNumberFormat="1">
      <alignment shrinkToFit="0" vertical="center" wrapText="1"/>
    </xf>
    <xf borderId="7" fillId="2" fontId="7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9" numFmtId="164" xfId="0" applyAlignment="1" applyBorder="1" applyFont="1" applyNumberFormat="1">
      <alignment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4" fontId="4" numFmtId="0" xfId="0" applyAlignment="1" applyBorder="1" applyFill="1" applyFont="1">
      <alignment shrinkToFit="0" vertical="center" wrapText="1"/>
    </xf>
    <xf borderId="3" fillId="0" fontId="11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bottom" wrapText="0"/>
    </xf>
    <xf borderId="3" fillId="0" fontId="12" numFmtId="164" xfId="0" applyAlignment="1" applyBorder="1" applyFont="1" applyNumberFormat="1">
      <alignment shrinkToFit="0" vertical="center" wrapText="1"/>
    </xf>
    <xf borderId="10" fillId="2" fontId="7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5" fontId="3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4" fillId="2" fontId="6" numFmtId="0" xfId="0" applyAlignment="1" applyBorder="1" applyFill="1" applyFont="1">
      <alignment horizontal="center" shrinkToFit="0" vertical="center" wrapText="1"/>
    </xf>
    <xf borderId="3" fillId="0" fontId="15" numFmtId="164" xfId="0" applyAlignment="1" applyBorder="1" applyFont="1" applyNumberFormat="1">
      <alignment shrinkToFit="0" vertical="center" wrapText="1"/>
    </xf>
    <xf borderId="3" fillId="3" fontId="8" numFmtId="0" xfId="0" applyAlignment="1" applyBorder="1" applyFill="1" applyFont="1">
      <alignment shrinkToFit="0" vertical="center" wrapText="1"/>
    </xf>
    <xf borderId="3" fillId="3" fontId="16" numFmtId="164" xfId="0" applyAlignment="1" applyBorder="1" applyFill="1" applyFont="1" applyNumberFormat="1">
      <alignment shrinkToFit="0" vertical="center" wrapText="1"/>
    </xf>
    <xf borderId="3" fillId="0" fontId="9" numFmtId="10" xfId="0" applyAlignment="1" applyBorder="1" applyFont="1" applyNumberFormat="1">
      <alignment horizontal="center" shrinkToFit="0" vertical="center" wrapText="1"/>
    </xf>
    <xf borderId="3" fillId="0" fontId="17" numFmtId="164" xfId="0" applyAlignment="1" applyBorder="1" applyFont="1" applyNumberFormat="1">
      <alignment shrinkToFit="0" vertical="center" wrapText="1"/>
    </xf>
    <xf borderId="3" fillId="0" fontId="15" numFmtId="10" xfId="0" applyAlignment="1" applyBorder="1" applyFont="1" applyNumberFormat="1">
      <alignment horizontal="center" shrinkToFit="0" vertical="center" wrapText="1"/>
    </xf>
    <xf borderId="3" fillId="3" fontId="8" numFmtId="164" xfId="0" applyAlignment="1" applyBorder="1" applyFill="1" applyFont="1" applyNumberFormat="1">
      <alignment shrinkToFit="0" vertical="center" wrapText="1"/>
    </xf>
    <xf borderId="3" fillId="3" fontId="8" numFmtId="10" xfId="0" applyAlignment="1" applyBorder="1" applyFill="1" applyFont="1" applyNumberFormat="1">
      <alignment horizontal="center" shrinkToFit="0" vertical="center" wrapText="1"/>
    </xf>
    <xf borderId="3" fillId="4" fontId="4" numFmtId="10" xfId="0" applyAlignment="1" applyBorder="1" applyFill="1" applyFont="1" applyNumberFormat="1">
      <alignment horizontal="center" shrinkToFit="0" vertical="center" wrapText="1"/>
    </xf>
    <xf borderId="3" fillId="0" fontId="18" numFmtId="164" xfId="0" applyAlignment="1" applyBorder="1" applyFont="1" applyNumberFormat="1">
      <alignment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0" fontId="9" numFmtId="164" xfId="0" applyAlignment="1" applyBorder="1" applyFont="1" applyNumberFormat="1">
      <alignment horizontal="center" shrinkToFit="0" vertical="center" wrapText="1"/>
    </xf>
    <xf borderId="3" fillId="3" fontId="8" numFmtId="10" xfId="0" applyAlignment="1" applyBorder="1" applyFill="1" applyFont="1" applyNumberFormat="1">
      <alignment shrinkToFit="0" vertical="center" wrapText="1"/>
    </xf>
    <xf borderId="3" fillId="3" fontId="18" numFmtId="0" xfId="0" applyAlignment="1" applyBorder="1" applyFill="1" applyFont="1">
      <alignment shrinkToFit="0" vertical="center" wrapText="1"/>
    </xf>
    <xf borderId="3" fillId="3" fontId="18" numFmtId="164" xfId="0" applyAlignment="1" applyBorder="1" applyFill="1" applyFont="1" applyNumberFormat="1">
      <alignment horizontal="center" shrinkToFit="0" vertical="center" wrapText="1"/>
    </xf>
    <xf borderId="3" fillId="3" fontId="18" numFmtId="164" xfId="0" applyAlignment="1" applyBorder="1" applyFill="1" applyFont="1" applyNumberFormat="1">
      <alignment shrinkToFit="0" vertical="center" wrapText="1"/>
    </xf>
    <xf borderId="3" fillId="3" fontId="19" numFmtId="0" xfId="0" applyAlignment="1" applyBorder="1" applyFill="1" applyFont="1">
      <alignment shrinkToFit="0" vertical="center" wrapText="1"/>
    </xf>
    <xf borderId="3" fillId="3" fontId="19" numFmtId="164" xfId="0" applyAlignment="1" applyBorder="1" applyFill="1" applyFont="1" applyNumberFormat="1">
      <alignment horizontal="center" shrinkToFit="0" vertical="center" wrapText="1"/>
    </xf>
    <xf borderId="3" fillId="3" fontId="18" numFmtId="0" xfId="0" applyAlignment="1" applyBorder="1" applyFill="1" applyFont="1">
      <alignment horizontal="center" shrinkToFit="0" vertical="center" wrapText="1"/>
    </xf>
    <xf borderId="3" fillId="0" fontId="9" numFmtId="10" xfId="0" applyAlignment="1" applyBorder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3" fillId="0" fontId="18" numFmtId="0" xfId="0" applyAlignment="1" applyBorder="1" applyFont="1">
      <alignment shrinkToFit="0" vertical="center" wrapText="1"/>
    </xf>
    <xf borderId="3" fillId="0" fontId="18" numFmtId="10" xfId="0" applyAlignment="1" applyBorder="1" applyFont="1" applyNumberFormat="1">
      <alignment shrinkToFit="0" vertical="center" wrapText="1"/>
    </xf>
    <xf borderId="0" fillId="0" fontId="10" numFmtId="0" xfId="0" applyAlignment="1" applyFont="1">
      <alignment shrinkToFit="0" vertical="center" wrapText="1"/>
    </xf>
    <xf borderId="3" fillId="3" fontId="20" numFmtId="10" xfId="0" applyAlignment="1" applyBorder="1" applyFill="1" applyFont="1" applyNumberFormat="1">
      <alignment horizontal="center" shrinkToFit="0" vertical="center" wrapText="1"/>
    </xf>
    <xf borderId="10" fillId="4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3" fillId="0" fontId="8" numFmtId="164" xfId="0" applyAlignment="1" applyBorder="1" applyFont="1" applyNumberFormat="1">
      <alignment shrinkToFit="0" vertical="center" wrapText="1"/>
    </xf>
    <xf borderId="10" fillId="3" fontId="3" numFmtId="0" xfId="0" applyAlignment="1" applyBorder="1" applyFill="1" applyFont="1">
      <alignment horizontal="center" shrinkToFit="0" vertical="center" wrapText="1"/>
    </xf>
    <xf borderId="18" fillId="3" fontId="20" numFmtId="164" xfId="0" applyAlignment="1" applyBorder="1" applyFill="1" applyFont="1" applyNumberFormat="1">
      <alignment horizontal="center" shrinkToFit="0" vertical="center" wrapText="1"/>
    </xf>
    <xf borderId="3" fillId="0" fontId="3" numFmtId="164" xfId="0" applyAlignment="1" applyBorder="1" applyFont="1" applyNumberFormat="1">
      <alignment shrinkToFit="0" vertical="center" wrapText="1"/>
    </xf>
    <xf borderId="19" fillId="0" fontId="2" numFmtId="0" xfId="0" applyBorder="1" applyFont="1"/>
    <xf borderId="3" fillId="3" fontId="19" numFmtId="164" xfId="0" applyAlignment="1" applyBorder="1" applyFill="1" applyFont="1" applyNumberFormat="1">
      <alignment shrinkToFit="0" vertical="center" wrapText="1"/>
    </xf>
    <xf borderId="20" fillId="0" fontId="2" numFmtId="0" xfId="0" applyBorder="1" applyFont="1"/>
    <xf borderId="3" fillId="0" fontId="9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0"/>
    </xf>
    <xf borderId="3" fillId="0" fontId="18" numFmtId="10" xfId="0" applyAlignment="1" applyBorder="1" applyFont="1" applyNumberFormat="1">
      <alignment horizontal="center" shrinkToFit="0" vertical="center" wrapText="1"/>
    </xf>
    <xf borderId="3" fillId="0" fontId="21" numFmtId="164" xfId="0" applyAlignment="1" applyBorder="1" applyFont="1" applyNumberFormat="1">
      <alignment shrinkToFit="0" vertical="center" wrapText="1"/>
    </xf>
    <xf borderId="0" fillId="0" fontId="22" numFmtId="0" xfId="0" applyAlignment="1" applyFont="1">
      <alignment shrinkToFit="0" vertical="top" wrapText="1"/>
    </xf>
    <xf borderId="3" fillId="0" fontId="23" numFmtId="0" xfId="0" applyAlignment="1" applyBorder="1" applyFont="1">
      <alignment shrinkToFit="0" vertical="center" wrapText="1"/>
    </xf>
    <xf borderId="0" fillId="0" fontId="24" numFmtId="0" xfId="0" applyAlignment="1" applyFont="1">
      <alignment shrinkToFit="0" vertical="bottom" wrapText="0"/>
    </xf>
    <xf borderId="3" fillId="3" fontId="9" numFmtId="0" xfId="0" applyAlignment="1" applyBorder="1" applyFill="1" applyFont="1">
      <alignment shrinkToFit="0" vertical="center" wrapText="1"/>
    </xf>
    <xf borderId="3" fillId="0" fontId="10" numFmtId="164" xfId="0" applyAlignment="1" applyBorder="1" applyFont="1" applyNumberFormat="1">
      <alignment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bottom" wrapText="1"/>
    </xf>
    <xf borderId="0" fillId="0" fontId="26" numFmtId="0" xfId="0" applyAlignment="1" applyFont="1">
      <alignment shrinkToFit="0" vertical="center" wrapText="1"/>
    </xf>
    <xf borderId="3" fillId="3" fontId="18" numFmtId="1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>
        <b/>
        <color rgb="FFC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>
        <strike/>
        <color rgb="FF7F7F7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Consignações x renda livre — atual e por cenário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Desconto mensal com consignações</c:v>
          </c:tx>
          <c:spPr>
            <a:solidFill>
              <a:srgbClr val="10233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COMPARATIVO!$B$18:$D$18</c:f>
            </c:strRef>
          </c:cat>
          <c:val>
            <c:numRef>
              <c:f>COMPARATIVO!$B$19:$D$19</c:f>
              <c:numCache/>
            </c:numRef>
          </c:val>
        </c:ser>
        <c:ser>
          <c:idx val="1"/>
          <c:order val="1"/>
          <c:tx>
            <c:v>Renda livre mensal</c:v>
          </c:tx>
          <c:spPr>
            <a:solidFill>
              <a:srgbClr val="C9A45C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COMPARATIVO!$B$18:$D$18</c:f>
            </c:strRef>
          </c:cat>
          <c:val>
            <c:numRef>
              <c:f>COMPARATIVO!$B$23:$D$23</c:f>
              <c:numCache/>
            </c:numRef>
          </c:val>
        </c:ser>
        <c:axId val="788180984"/>
        <c:axId val="1505405206"/>
      </c:barChart>
      <c:catAx>
        <c:axId val="788180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5405206"/>
      </c:catAx>
      <c:valAx>
        <c:axId val="150540520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8180984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Renda líquida — situação atual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9A45C"/>
              </a:solidFill>
            </c:spPr>
          </c:dPt>
          <c:dPt>
            <c:idx val="1"/>
            <c:explosion val="12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10233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'SE 40%'!$A$10:$A$12</c:f>
            </c:strRef>
          </c:cat>
          <c:val>
            <c:numRef>
              <c:f>'SE 40%'!$B$10:$B$12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Renda líquida — Cenário B (35% + 5%)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9A45C"/>
              </a:solidFill>
            </c:spPr>
          </c:dPt>
          <c:dPt>
            <c:idx val="1"/>
            <c:explosion val="12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10233F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'SE 35-5'!$A$10:$A$12</c:f>
            </c:strRef>
          </c:cat>
          <c:val>
            <c:numRef>
              <c:f>'SE 35-5'!$B$10:$B$12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5810250" cy="3514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238125</xdr:rowOff>
    </xdr:from>
    <xdr:ext cx="5667375" cy="3505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76200</xdr:rowOff>
    </xdr:from>
    <xdr:ext cx="5133975" cy="2828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3.0"/>
    <col customWidth="1" min="3" max="4" width="19.0"/>
    <col customWidth="1" min="5" max="6" width="17.0"/>
    <col customWidth="1" min="7" max="7" width="19.0"/>
    <col customWidth="1" min="8" max="8" width="3.0"/>
    <col customWidth="1" min="9" max="25" width="8.71"/>
    <col customWidth="1" hidden="1" min="26" max="26" width="13.0"/>
  </cols>
  <sheetData>
    <row r="1" ht="15.0" customHeight="1">
      <c r="A1" s="26" t="s">
        <v>21</v>
      </c>
      <c r="B1" s="27"/>
      <c r="C1" s="27"/>
      <c r="D1" s="27"/>
      <c r="E1" s="27"/>
      <c r="F1" s="27"/>
      <c r="G1" s="28"/>
    </row>
    <row r="2">
      <c r="A2" s="29"/>
      <c r="B2" s="30"/>
      <c r="C2" s="30"/>
      <c r="D2" s="30"/>
      <c r="E2" s="30"/>
      <c r="F2" s="30"/>
      <c r="G2" s="31"/>
    </row>
    <row r="3">
      <c r="A3" s="32" t="str">
        <f>"READEQUAÇÃO DE MARGEM — "&amp;IF(CONTRACHEQUE!$B$3="","[CLIENTE]",UPPER(CONTRACHEQUE!$B$3))&amp;IF(CONTRACHEQUE!$B$5="",""," — COMPETÊNCIA "&amp;CONTRACHEQUE!$B$5)</f>
        <v>READEQUAÇÃO DE MARGEM — [CLIENTE]</v>
      </c>
      <c r="B3" s="5"/>
      <c r="C3" s="5"/>
      <c r="D3" s="5"/>
      <c r="E3" s="5"/>
      <c r="F3" s="5"/>
      <c r="G3" s="5"/>
      <c r="Z3" s="33" t="s">
        <v>23</v>
      </c>
    </row>
    <row r="4">
      <c r="Z4" s="33">
        <f>IF($B$15=0,1,MIN(1,$B$8*'SE 40%'!$H$24/$B$15))</f>
        <v>1</v>
      </c>
    </row>
    <row r="5" ht="15.0" customHeight="1">
      <c r="A5" s="34" t="s">
        <v>24</v>
      </c>
      <c r="B5" s="5"/>
      <c r="C5" s="5"/>
      <c r="D5" s="5"/>
      <c r="E5" s="5"/>
      <c r="F5" s="5"/>
      <c r="G5" s="6"/>
    </row>
    <row r="6">
      <c r="A6" s="17" t="s">
        <v>25</v>
      </c>
      <c r="B6" s="35">
        <f>'SE 40%'!B4</f>
        <v>0</v>
      </c>
    </row>
    <row r="7">
      <c r="A7" s="17" t="s">
        <v>26</v>
      </c>
      <c r="B7" s="35">
        <f>'SE 40%'!B6</f>
        <v>0</v>
      </c>
    </row>
    <row r="8">
      <c r="A8" s="36" t="s">
        <v>27</v>
      </c>
      <c r="B8" s="37">
        <f>'SE 40%'!B8</f>
        <v>0</v>
      </c>
    </row>
    <row r="10" ht="15.0" customHeight="1">
      <c r="A10" s="34" t="s">
        <v>28</v>
      </c>
      <c r="B10" s="5"/>
      <c r="C10" s="5"/>
      <c r="D10" s="5"/>
      <c r="E10" s="5"/>
      <c r="F10" s="5"/>
      <c r="G10" s="6"/>
    </row>
    <row r="11" ht="30.0" customHeight="1">
      <c r="A11" s="19" t="s">
        <v>19</v>
      </c>
      <c r="B11" s="19" t="s">
        <v>29</v>
      </c>
      <c r="C11" s="19" t="s">
        <v>30</v>
      </c>
      <c r="D11" s="19" t="s">
        <v>31</v>
      </c>
      <c r="E11" s="19" t="s">
        <v>32</v>
      </c>
      <c r="F11" s="19" t="s">
        <v>33</v>
      </c>
      <c r="G11" s="19" t="s">
        <v>34</v>
      </c>
    </row>
    <row r="12">
      <c r="A12" s="17" t="s">
        <v>35</v>
      </c>
      <c r="B12" s="18">
        <f>SUMIF(CONTRACHEQUE!$G$8:$G$87,"EMPRÉSTIMO CONSIGNADO",CONTRACHEQUE!$D$8:$D$87)</f>
        <v>0</v>
      </c>
      <c r="C12" s="38">
        <f t="shared" ref="C12:C15" si="1">IF($B$8=0,0,B12/$B$8)</f>
        <v>0</v>
      </c>
      <c r="D12" s="39">
        <f t="shared" ref="D12:D14" si="2">B12*$Z$4</f>
        <v>0</v>
      </c>
      <c r="E12" s="40">
        <f>'SE 35-5'!J5</f>
        <v>0.35</v>
      </c>
      <c r="F12" s="18">
        <f t="shared" ref="F12:F13" si="3">$B$8*E12</f>
        <v>0</v>
      </c>
      <c r="G12" s="39">
        <f>B12*Z12</f>
        <v>0</v>
      </c>
      <c r="Z12" s="33">
        <f>IF(B12+B14=0,1,MIN(1,F12/(B12+B14)))</f>
        <v>1</v>
      </c>
    </row>
    <row r="13">
      <c r="A13" s="17" t="s">
        <v>36</v>
      </c>
      <c r="B13" s="18">
        <f>SUMIF(CONTRACHEQUE!$G$8:$G$87,"CARTÃO CONSIGNADO",CONTRACHEQUE!$D$8:$D$87)</f>
        <v>0</v>
      </c>
      <c r="C13" s="38">
        <f t="shared" si="1"/>
        <v>0</v>
      </c>
      <c r="D13" s="39">
        <f t="shared" si="2"/>
        <v>0</v>
      </c>
      <c r="E13" s="40">
        <f>'SE 35-5'!J6</f>
        <v>0.05</v>
      </c>
      <c r="F13" s="18">
        <f t="shared" si="3"/>
        <v>0</v>
      </c>
      <c r="G13" s="39">
        <f>MIN(B13,F13)</f>
        <v>0</v>
      </c>
      <c r="Z13" s="33">
        <f>IF(B13=0,1,MIN(1,F13/B13))</f>
        <v>1</v>
      </c>
    </row>
    <row r="14">
      <c r="A14" s="17" t="s">
        <v>38</v>
      </c>
      <c r="B14" s="18">
        <f>SUMIF(CONTRACHEQUE!$G$8:$G$87,"CARTÃO BENEFÍCIO",CONTRACHEQUE!$D$8:$D$87)</f>
        <v>0</v>
      </c>
      <c r="C14" s="38">
        <f t="shared" si="1"/>
        <v>0</v>
      </c>
      <c r="D14" s="39">
        <f t="shared" si="2"/>
        <v>0</v>
      </c>
      <c r="E14" s="40">
        <f>'SE 35-5'!J7</f>
        <v>0.35</v>
      </c>
      <c r="F14" s="18" t="str">
        <f>"(incl. nos 35%)"</f>
        <v>(incl. nos 35%)</v>
      </c>
      <c r="G14" s="39">
        <f>B14*Z14</f>
        <v>0</v>
      </c>
      <c r="Z14" s="33">
        <f>Z12</f>
        <v>1</v>
      </c>
    </row>
    <row r="15">
      <c r="A15" s="36" t="s">
        <v>44</v>
      </c>
      <c r="B15" s="41">
        <f>SUM(B12:B14)</f>
        <v>0</v>
      </c>
      <c r="C15" s="42">
        <f t="shared" si="1"/>
        <v>0</v>
      </c>
      <c r="D15" s="41">
        <f>SUM(D12:D14)</f>
        <v>0</v>
      </c>
      <c r="E15" s="42">
        <f>E12+E13</f>
        <v>0.4</v>
      </c>
      <c r="F15" s="41">
        <f t="shared" ref="F15:G15" si="4">SUM(F12:F14)</f>
        <v>0</v>
      </c>
      <c r="G15" s="41">
        <f t="shared" si="4"/>
        <v>0</v>
      </c>
    </row>
    <row r="17" ht="15.0" customHeight="1">
      <c r="A17" s="34" t="s">
        <v>45</v>
      </c>
      <c r="B17" s="5"/>
      <c r="C17" s="5"/>
      <c r="D17" s="5"/>
      <c r="E17" s="5"/>
      <c r="F17" s="5"/>
      <c r="G17" s="6"/>
    </row>
    <row r="18" ht="30.0" customHeight="1">
      <c r="A18" s="19" t="s">
        <v>46</v>
      </c>
      <c r="B18" s="46" t="s">
        <v>47</v>
      </c>
      <c r="C18" s="10" t="s">
        <v>48</v>
      </c>
      <c r="D18" s="47" t="s">
        <v>49</v>
      </c>
    </row>
    <row r="19">
      <c r="A19" s="17" t="s">
        <v>50</v>
      </c>
      <c r="B19" s="48">
        <f>B15</f>
        <v>0</v>
      </c>
      <c r="C19" s="48">
        <f>D15</f>
        <v>0</v>
      </c>
      <c r="D19" s="48">
        <f>G15</f>
        <v>0</v>
      </c>
    </row>
    <row r="20">
      <c r="A20" s="17" t="s">
        <v>51</v>
      </c>
      <c r="B20" s="38">
        <f t="shared" ref="B20:D20" si="5">IF($B$8=0,0,B19/$B$8)</f>
        <v>0</v>
      </c>
      <c r="C20" s="38">
        <f t="shared" si="5"/>
        <v>0</v>
      </c>
      <c r="D20" s="38">
        <f t="shared" si="5"/>
        <v>0</v>
      </c>
    </row>
    <row r="21" ht="15.75" customHeight="1">
      <c r="A21" s="50" t="s">
        <v>52</v>
      </c>
      <c r="B21" s="51">
        <v>0.0</v>
      </c>
      <c r="C21" s="51">
        <f t="shared" ref="C21:D21" si="6">$B$19-C19</f>
        <v>0</v>
      </c>
      <c r="D21" s="51">
        <f t="shared" si="6"/>
        <v>0</v>
      </c>
    </row>
    <row r="22" ht="15.75" customHeight="1">
      <c r="A22" s="17" t="s">
        <v>53</v>
      </c>
      <c r="B22" s="48">
        <v>0.0</v>
      </c>
      <c r="C22" s="48">
        <f t="shared" ref="C22:D22" si="7">C21*12</f>
        <v>0</v>
      </c>
      <c r="D22" s="48">
        <f t="shared" si="7"/>
        <v>0</v>
      </c>
    </row>
    <row r="23" ht="15.75" customHeight="1">
      <c r="A23" s="53" t="s">
        <v>54</v>
      </c>
      <c r="B23" s="54">
        <f t="shared" ref="B23:D23" si="8">$B$8-B19</f>
        <v>0</v>
      </c>
      <c r="C23" s="54">
        <f t="shared" si="8"/>
        <v>0</v>
      </c>
      <c r="D23" s="54">
        <f t="shared" si="8"/>
        <v>0</v>
      </c>
    </row>
    <row r="24" ht="15.75" customHeight="1">
      <c r="A24" s="17" t="s">
        <v>55</v>
      </c>
      <c r="B24" s="38">
        <v>0.0</v>
      </c>
      <c r="C24" s="38">
        <f t="shared" ref="C24:D24" si="9">IF($B$23&lt;=0,0,C21/$B$23)</f>
        <v>0</v>
      </c>
      <c r="D24" s="38">
        <f t="shared" si="9"/>
        <v>0</v>
      </c>
    </row>
    <row r="25" ht="15.75" customHeight="1">
      <c r="A25" s="17" t="s">
        <v>57</v>
      </c>
      <c r="B25" s="48">
        <v>0.0</v>
      </c>
      <c r="C25" s="48">
        <f t="shared" ref="C25:D25" si="10">C21*12*2</f>
        <v>0</v>
      </c>
      <c r="D25" s="48">
        <f t="shared" si="10"/>
        <v>0</v>
      </c>
    </row>
    <row r="26" ht="15.75" customHeight="1"/>
    <row r="27" ht="15.75" customHeight="1">
      <c r="A27" s="62" t="str">
        <f>IF($B$15=0,"Preencha a aba CONTRACHEQUE para gerar a comparação entre as teses.",IF(AND(C21=0,D21=0),"Nenhuma das teses gera redução: as consignações já estão dentro dos limites legais.",IF(ROUND(C21-D21,2)=0,"As duas teses produzem a MESMA redução: R$ "&amp;FIXED(C21,2)&amp;" por mês (R$ "&amp;FIXED(C22,2)&amp;" em 12 meses).","Tese mais favorável ao cliente: "&amp;IF(C21&gt;D21,"CENÁRIO A (teto global de 40%)","CENÁRIO B (margens 35% + 5%)")&amp;" — redução de R$ "&amp;FIXED(MAX(C21,D21),2)&amp;"/mês. Se o juízo adotar a outra tese, a redução será de R$ "&amp;FIXED(MIN(C21,D21),2)&amp;"/mês. Diferença entre as teses: R$ "&amp;FIXED(ABS(C21-D21),2)&amp;"/mês (R$ "&amp;FIXED(ABS(C22-D22),2)&amp;" em 12 meses).")))</f>
        <v>Preencha a aba CONTRACHEQUE para gerar a comparação entre as teses.</v>
      </c>
      <c r="B27" s="27"/>
      <c r="C27" s="27"/>
      <c r="D27" s="27"/>
      <c r="E27" s="27"/>
      <c r="F27" s="27"/>
      <c r="G27" s="28"/>
    </row>
    <row r="28" ht="15.75" customHeight="1">
      <c r="A28" s="64"/>
      <c r="G28" s="65"/>
    </row>
    <row r="29" ht="15.75" customHeight="1">
      <c r="A29" s="29"/>
      <c r="B29" s="30"/>
      <c r="C29" s="30"/>
      <c r="D29" s="30"/>
      <c r="E29" s="30"/>
      <c r="F29" s="30"/>
      <c r="G29" s="31"/>
    </row>
    <row r="30" ht="15.75" customHeight="1"/>
    <row r="31" ht="15.0" customHeight="1">
      <c r="A31" s="34" t="s">
        <v>66</v>
      </c>
      <c r="B31" s="5"/>
      <c r="C31" s="5"/>
      <c r="D31" s="5"/>
      <c r="E31" s="5"/>
      <c r="F31" s="5"/>
      <c r="G31" s="6"/>
    </row>
    <row r="32" ht="30.0" customHeight="1">
      <c r="A32" s="19" t="s">
        <v>18</v>
      </c>
      <c r="B32" s="19" t="s">
        <v>19</v>
      </c>
      <c r="C32" s="19" t="s">
        <v>29</v>
      </c>
      <c r="D32" s="19" t="s">
        <v>68</v>
      </c>
      <c r="E32" s="19" t="s">
        <v>69</v>
      </c>
      <c r="F32" s="19" t="s">
        <v>70</v>
      </c>
      <c r="G32" s="19" t="s">
        <v>71</v>
      </c>
    </row>
    <row r="33" ht="15.75" customHeight="1">
      <c r="A33" s="73" t="str">
        <f t="array" ref="A33">IFERROR(INDEX(CONTRACHEQUE!$B$8:$B$87,MATCH(1,CONTRACHEQUE!$I$8:$I$87,0)),"")</f>
        <v/>
      </c>
      <c r="B33" s="74" t="str">
        <f t="array" ref="B33">IFERROR(INDEX(CONTRACHEQUE!$G$8:$G$87,MATCH(1,CONTRACHEQUE!$I$8:$I$87,0)),"")</f>
        <v/>
      </c>
      <c r="C33" s="18" t="str">
        <f t="array" ref="C33">IFERROR(INDEX(CONTRACHEQUE!$D$8:$D$87,MATCH(1,CONTRACHEQUE!$I$8:$I$87,0)),"")</f>
        <v/>
      </c>
      <c r="D33" s="39" t="str">
        <f t="shared" ref="D33:D57" si="11">IF(C33="","",C33*$Z$4)</f>
        <v/>
      </c>
      <c r="E33" s="76" t="str">
        <f t="shared" ref="E33:E57" si="12">IF(C33="","",C33-D33)</f>
        <v/>
      </c>
      <c r="F33" s="39" t="str">
        <f t="shared" ref="F33:F57" si="13">IF(C33="","",C33*INDEX($Z$12:$Z$14,MATCH(B33,$A$12:$A$14,0)))</f>
        <v/>
      </c>
      <c r="G33" s="76" t="str">
        <f t="shared" ref="G33:G57" si="14">IF(C33="","",C33-F33)</f>
        <v/>
      </c>
    </row>
    <row r="34" ht="15.75" customHeight="1">
      <c r="A34" s="73" t="str">
        <f t="array" ref="A34">IFERROR(INDEX(CONTRACHEQUE!$B$8:$B$87,MATCH(2,CONTRACHEQUE!$I$8:$I$87,0)),"")</f>
        <v/>
      </c>
      <c r="B34" s="74" t="str">
        <f t="array" ref="B34">IFERROR(INDEX(CONTRACHEQUE!$G$8:$G$87,MATCH(2,CONTRACHEQUE!$I$8:$I$87,0)),"")</f>
        <v/>
      </c>
      <c r="C34" s="18" t="str">
        <f t="array" ref="C34">IFERROR(INDEX(CONTRACHEQUE!$D$8:$D$87,MATCH(2,CONTRACHEQUE!$I$8:$I$87,0)),"")</f>
        <v/>
      </c>
      <c r="D34" s="39" t="str">
        <f t="shared" si="11"/>
        <v/>
      </c>
      <c r="E34" s="76" t="str">
        <f t="shared" si="12"/>
        <v/>
      </c>
      <c r="F34" s="39" t="str">
        <f t="shared" si="13"/>
        <v/>
      </c>
      <c r="G34" s="76" t="str">
        <f t="shared" si="14"/>
        <v/>
      </c>
    </row>
    <row r="35" ht="15.75" customHeight="1">
      <c r="A35" s="73" t="str">
        <f t="array" ref="A35">IFERROR(INDEX(CONTRACHEQUE!$B$8:$B$87,MATCH(3,CONTRACHEQUE!$I$8:$I$87,0)),"")</f>
        <v/>
      </c>
      <c r="B35" s="74" t="str">
        <f t="array" ref="B35">IFERROR(INDEX(CONTRACHEQUE!$G$8:$G$87,MATCH(3,CONTRACHEQUE!$I$8:$I$87,0)),"")</f>
        <v/>
      </c>
      <c r="C35" s="18" t="str">
        <f t="array" ref="C35">IFERROR(INDEX(CONTRACHEQUE!$D$8:$D$87,MATCH(3,CONTRACHEQUE!$I$8:$I$87,0)),"")</f>
        <v/>
      </c>
      <c r="D35" s="39" t="str">
        <f t="shared" si="11"/>
        <v/>
      </c>
      <c r="E35" s="76" t="str">
        <f t="shared" si="12"/>
        <v/>
      </c>
      <c r="F35" s="39" t="str">
        <f t="shared" si="13"/>
        <v/>
      </c>
      <c r="G35" s="76" t="str">
        <f t="shared" si="14"/>
        <v/>
      </c>
    </row>
    <row r="36" ht="15.75" customHeight="1">
      <c r="A36" s="73" t="str">
        <f t="array" ref="A36">IFERROR(INDEX(CONTRACHEQUE!$B$8:$B$87,MATCH(4,CONTRACHEQUE!$I$8:$I$87,0)),"")</f>
        <v/>
      </c>
      <c r="B36" s="74" t="str">
        <f t="array" ref="B36">IFERROR(INDEX(CONTRACHEQUE!$G$8:$G$87,MATCH(4,CONTRACHEQUE!$I$8:$I$87,0)),"")</f>
        <v/>
      </c>
      <c r="C36" s="18" t="str">
        <f t="array" ref="C36">IFERROR(INDEX(CONTRACHEQUE!$D$8:$D$87,MATCH(4,CONTRACHEQUE!$I$8:$I$87,0)),"")</f>
        <v/>
      </c>
      <c r="D36" s="39" t="str">
        <f t="shared" si="11"/>
        <v/>
      </c>
      <c r="E36" s="76" t="str">
        <f t="shared" si="12"/>
        <v/>
      </c>
      <c r="F36" s="39" t="str">
        <f t="shared" si="13"/>
        <v/>
      </c>
      <c r="G36" s="76" t="str">
        <f t="shared" si="14"/>
        <v/>
      </c>
    </row>
    <row r="37" ht="15.75" customHeight="1">
      <c r="A37" s="73" t="str">
        <f t="array" ref="A37">IFERROR(INDEX(CONTRACHEQUE!$B$8:$B$87,MATCH(5,CONTRACHEQUE!$I$8:$I$87,0)),"")</f>
        <v/>
      </c>
      <c r="B37" s="74" t="str">
        <f t="array" ref="B37">IFERROR(INDEX(CONTRACHEQUE!$G$8:$G$87,MATCH(5,CONTRACHEQUE!$I$8:$I$87,0)),"")</f>
        <v/>
      </c>
      <c r="C37" s="18" t="str">
        <f t="array" ref="C37">IFERROR(INDEX(CONTRACHEQUE!$D$8:$D$87,MATCH(5,CONTRACHEQUE!$I$8:$I$87,0)),"")</f>
        <v/>
      </c>
      <c r="D37" s="39" t="str">
        <f t="shared" si="11"/>
        <v/>
      </c>
      <c r="E37" s="76" t="str">
        <f t="shared" si="12"/>
        <v/>
      </c>
      <c r="F37" s="39" t="str">
        <f t="shared" si="13"/>
        <v/>
      </c>
      <c r="G37" s="76" t="str">
        <f t="shared" si="14"/>
        <v/>
      </c>
    </row>
    <row r="38" ht="15.75" customHeight="1">
      <c r="A38" s="73" t="str">
        <f t="array" ref="A38">IFERROR(INDEX(CONTRACHEQUE!$B$8:$B$87,MATCH(6,CONTRACHEQUE!$I$8:$I$87,0)),"")</f>
        <v/>
      </c>
      <c r="B38" s="74" t="str">
        <f t="array" ref="B38">IFERROR(INDEX(CONTRACHEQUE!$G$8:$G$87,MATCH(6,CONTRACHEQUE!$I$8:$I$87,0)),"")</f>
        <v/>
      </c>
      <c r="C38" s="18" t="str">
        <f t="array" ref="C38">IFERROR(INDEX(CONTRACHEQUE!$D$8:$D$87,MATCH(6,CONTRACHEQUE!$I$8:$I$87,0)),"")</f>
        <v/>
      </c>
      <c r="D38" s="39" t="str">
        <f t="shared" si="11"/>
        <v/>
      </c>
      <c r="E38" s="76" t="str">
        <f t="shared" si="12"/>
        <v/>
      </c>
      <c r="F38" s="39" t="str">
        <f t="shared" si="13"/>
        <v/>
      </c>
      <c r="G38" s="76" t="str">
        <f t="shared" si="14"/>
        <v/>
      </c>
    </row>
    <row r="39" ht="15.75" customHeight="1">
      <c r="A39" s="73" t="str">
        <f t="array" ref="A39">IFERROR(INDEX(CONTRACHEQUE!$B$8:$B$87,MATCH(7,CONTRACHEQUE!$I$8:$I$87,0)),"")</f>
        <v/>
      </c>
      <c r="B39" s="74" t="str">
        <f t="array" ref="B39">IFERROR(INDEX(CONTRACHEQUE!$G$8:$G$87,MATCH(7,CONTRACHEQUE!$I$8:$I$87,0)),"")</f>
        <v/>
      </c>
      <c r="C39" s="18" t="str">
        <f t="array" ref="C39">IFERROR(INDEX(CONTRACHEQUE!$D$8:$D$87,MATCH(7,CONTRACHEQUE!$I$8:$I$87,0)),"")</f>
        <v/>
      </c>
      <c r="D39" s="39" t="str">
        <f t="shared" si="11"/>
        <v/>
      </c>
      <c r="E39" s="76" t="str">
        <f t="shared" si="12"/>
        <v/>
      </c>
      <c r="F39" s="39" t="str">
        <f t="shared" si="13"/>
        <v/>
      </c>
      <c r="G39" s="76" t="str">
        <f t="shared" si="14"/>
        <v/>
      </c>
    </row>
    <row r="40" ht="15.75" customHeight="1">
      <c r="A40" s="73" t="str">
        <f t="array" ref="A40">IFERROR(INDEX(CONTRACHEQUE!$B$8:$B$87,MATCH(8,CONTRACHEQUE!$I$8:$I$87,0)),"")</f>
        <v/>
      </c>
      <c r="B40" s="74" t="str">
        <f t="array" ref="B40">IFERROR(INDEX(CONTRACHEQUE!$G$8:$G$87,MATCH(8,CONTRACHEQUE!$I$8:$I$87,0)),"")</f>
        <v/>
      </c>
      <c r="C40" s="18" t="str">
        <f t="array" ref="C40">IFERROR(INDEX(CONTRACHEQUE!$D$8:$D$87,MATCH(8,CONTRACHEQUE!$I$8:$I$87,0)),"")</f>
        <v/>
      </c>
      <c r="D40" s="39" t="str">
        <f t="shared" si="11"/>
        <v/>
      </c>
      <c r="E40" s="76" t="str">
        <f t="shared" si="12"/>
        <v/>
      </c>
      <c r="F40" s="39" t="str">
        <f t="shared" si="13"/>
        <v/>
      </c>
      <c r="G40" s="76" t="str">
        <f t="shared" si="14"/>
        <v/>
      </c>
    </row>
    <row r="41" ht="15.75" customHeight="1">
      <c r="A41" s="73" t="str">
        <f t="array" ref="A41">IFERROR(INDEX(CONTRACHEQUE!$B$8:$B$87,MATCH(9,CONTRACHEQUE!$I$8:$I$87,0)),"")</f>
        <v/>
      </c>
      <c r="B41" s="74" t="str">
        <f t="array" ref="B41">IFERROR(INDEX(CONTRACHEQUE!$G$8:$G$87,MATCH(9,CONTRACHEQUE!$I$8:$I$87,0)),"")</f>
        <v/>
      </c>
      <c r="C41" s="18" t="str">
        <f t="array" ref="C41">IFERROR(INDEX(CONTRACHEQUE!$D$8:$D$87,MATCH(9,CONTRACHEQUE!$I$8:$I$87,0)),"")</f>
        <v/>
      </c>
      <c r="D41" s="39" t="str">
        <f t="shared" si="11"/>
        <v/>
      </c>
      <c r="E41" s="76" t="str">
        <f t="shared" si="12"/>
        <v/>
      </c>
      <c r="F41" s="39" t="str">
        <f t="shared" si="13"/>
        <v/>
      </c>
      <c r="G41" s="76" t="str">
        <f t="shared" si="14"/>
        <v/>
      </c>
    </row>
    <row r="42" ht="15.75" customHeight="1">
      <c r="A42" s="73" t="str">
        <f t="array" ref="A42">IFERROR(INDEX(CONTRACHEQUE!$B$8:$B$87,MATCH(10,CONTRACHEQUE!$I$8:$I$87,0)),"")</f>
        <v/>
      </c>
      <c r="B42" s="74" t="str">
        <f t="array" ref="B42">IFERROR(INDEX(CONTRACHEQUE!$G$8:$G$87,MATCH(10,CONTRACHEQUE!$I$8:$I$87,0)),"")</f>
        <v/>
      </c>
      <c r="C42" s="18" t="str">
        <f t="array" ref="C42">IFERROR(INDEX(CONTRACHEQUE!$D$8:$D$87,MATCH(10,CONTRACHEQUE!$I$8:$I$87,0)),"")</f>
        <v/>
      </c>
      <c r="D42" s="39" t="str">
        <f t="shared" si="11"/>
        <v/>
      </c>
      <c r="E42" s="76" t="str">
        <f t="shared" si="12"/>
        <v/>
      </c>
      <c r="F42" s="39" t="str">
        <f t="shared" si="13"/>
        <v/>
      </c>
      <c r="G42" s="76" t="str">
        <f t="shared" si="14"/>
        <v/>
      </c>
    </row>
    <row r="43" ht="15.75" customHeight="1">
      <c r="A43" s="73" t="str">
        <f t="array" ref="A43">IFERROR(INDEX(CONTRACHEQUE!$B$8:$B$87,MATCH(11,CONTRACHEQUE!$I$8:$I$87,0)),"")</f>
        <v/>
      </c>
      <c r="B43" s="74" t="str">
        <f t="array" ref="B43">IFERROR(INDEX(CONTRACHEQUE!$G$8:$G$87,MATCH(11,CONTRACHEQUE!$I$8:$I$87,0)),"")</f>
        <v/>
      </c>
      <c r="C43" s="18" t="str">
        <f t="array" ref="C43">IFERROR(INDEX(CONTRACHEQUE!$D$8:$D$87,MATCH(11,CONTRACHEQUE!$I$8:$I$87,0)),"")</f>
        <v/>
      </c>
      <c r="D43" s="39" t="str">
        <f t="shared" si="11"/>
        <v/>
      </c>
      <c r="E43" s="76" t="str">
        <f t="shared" si="12"/>
        <v/>
      </c>
      <c r="F43" s="39" t="str">
        <f t="shared" si="13"/>
        <v/>
      </c>
      <c r="G43" s="76" t="str">
        <f t="shared" si="14"/>
        <v/>
      </c>
    </row>
    <row r="44" ht="15.75" customHeight="1">
      <c r="A44" s="73" t="str">
        <f t="array" ref="A44">IFERROR(INDEX(CONTRACHEQUE!$B$8:$B$87,MATCH(12,CONTRACHEQUE!$I$8:$I$87,0)),"")</f>
        <v/>
      </c>
      <c r="B44" s="74" t="str">
        <f t="array" ref="B44">IFERROR(INDEX(CONTRACHEQUE!$G$8:$G$87,MATCH(12,CONTRACHEQUE!$I$8:$I$87,0)),"")</f>
        <v/>
      </c>
      <c r="C44" s="18" t="str">
        <f t="array" ref="C44">IFERROR(INDEX(CONTRACHEQUE!$D$8:$D$87,MATCH(12,CONTRACHEQUE!$I$8:$I$87,0)),"")</f>
        <v/>
      </c>
      <c r="D44" s="39" t="str">
        <f t="shared" si="11"/>
        <v/>
      </c>
      <c r="E44" s="76" t="str">
        <f t="shared" si="12"/>
        <v/>
      </c>
      <c r="F44" s="39" t="str">
        <f t="shared" si="13"/>
        <v/>
      </c>
      <c r="G44" s="76" t="str">
        <f t="shared" si="14"/>
        <v/>
      </c>
    </row>
    <row r="45" ht="15.75" customHeight="1">
      <c r="A45" s="73" t="str">
        <f t="array" ref="A45">IFERROR(INDEX(CONTRACHEQUE!$B$8:$B$87,MATCH(13,CONTRACHEQUE!$I$8:$I$87,0)),"")</f>
        <v/>
      </c>
      <c r="B45" s="74" t="str">
        <f t="array" ref="B45">IFERROR(INDEX(CONTRACHEQUE!$G$8:$G$87,MATCH(13,CONTRACHEQUE!$I$8:$I$87,0)),"")</f>
        <v/>
      </c>
      <c r="C45" s="18" t="str">
        <f t="array" ref="C45">IFERROR(INDEX(CONTRACHEQUE!$D$8:$D$87,MATCH(13,CONTRACHEQUE!$I$8:$I$87,0)),"")</f>
        <v/>
      </c>
      <c r="D45" s="39" t="str">
        <f t="shared" si="11"/>
        <v/>
      </c>
      <c r="E45" s="76" t="str">
        <f t="shared" si="12"/>
        <v/>
      </c>
      <c r="F45" s="39" t="str">
        <f t="shared" si="13"/>
        <v/>
      </c>
      <c r="G45" s="76" t="str">
        <f t="shared" si="14"/>
        <v/>
      </c>
    </row>
    <row r="46" ht="15.75" customHeight="1">
      <c r="A46" s="73" t="str">
        <f t="array" ref="A46">IFERROR(INDEX(CONTRACHEQUE!$B$8:$B$87,MATCH(14,CONTRACHEQUE!$I$8:$I$87,0)),"")</f>
        <v/>
      </c>
      <c r="B46" s="74" t="str">
        <f t="array" ref="B46">IFERROR(INDEX(CONTRACHEQUE!$G$8:$G$87,MATCH(14,CONTRACHEQUE!$I$8:$I$87,0)),"")</f>
        <v/>
      </c>
      <c r="C46" s="18" t="str">
        <f t="array" ref="C46">IFERROR(INDEX(CONTRACHEQUE!$D$8:$D$87,MATCH(14,CONTRACHEQUE!$I$8:$I$87,0)),"")</f>
        <v/>
      </c>
      <c r="D46" s="39" t="str">
        <f t="shared" si="11"/>
        <v/>
      </c>
      <c r="E46" s="76" t="str">
        <f t="shared" si="12"/>
        <v/>
      </c>
      <c r="F46" s="39" t="str">
        <f t="shared" si="13"/>
        <v/>
      </c>
      <c r="G46" s="76" t="str">
        <f t="shared" si="14"/>
        <v/>
      </c>
    </row>
    <row r="47" ht="15.75" customHeight="1">
      <c r="A47" s="73" t="str">
        <f t="array" ref="A47">IFERROR(INDEX(CONTRACHEQUE!$B$8:$B$87,MATCH(15,CONTRACHEQUE!$I$8:$I$87,0)),"")</f>
        <v/>
      </c>
      <c r="B47" s="74" t="str">
        <f t="array" ref="B47">IFERROR(INDEX(CONTRACHEQUE!$G$8:$G$87,MATCH(15,CONTRACHEQUE!$I$8:$I$87,0)),"")</f>
        <v/>
      </c>
      <c r="C47" s="18" t="str">
        <f t="array" ref="C47">IFERROR(INDEX(CONTRACHEQUE!$D$8:$D$87,MATCH(15,CONTRACHEQUE!$I$8:$I$87,0)),"")</f>
        <v/>
      </c>
      <c r="D47" s="39" t="str">
        <f t="shared" si="11"/>
        <v/>
      </c>
      <c r="E47" s="76" t="str">
        <f t="shared" si="12"/>
        <v/>
      </c>
      <c r="F47" s="39" t="str">
        <f t="shared" si="13"/>
        <v/>
      </c>
      <c r="G47" s="76" t="str">
        <f t="shared" si="14"/>
        <v/>
      </c>
    </row>
    <row r="48" ht="15.75" customHeight="1">
      <c r="A48" s="73" t="str">
        <f t="array" ref="A48">IFERROR(INDEX(CONTRACHEQUE!$B$8:$B$87,MATCH(16,CONTRACHEQUE!$I$8:$I$87,0)),"")</f>
        <v/>
      </c>
      <c r="B48" s="74" t="str">
        <f t="array" ref="B48">IFERROR(INDEX(CONTRACHEQUE!$G$8:$G$87,MATCH(16,CONTRACHEQUE!$I$8:$I$87,0)),"")</f>
        <v/>
      </c>
      <c r="C48" s="18" t="str">
        <f t="array" ref="C48">IFERROR(INDEX(CONTRACHEQUE!$D$8:$D$87,MATCH(16,CONTRACHEQUE!$I$8:$I$87,0)),"")</f>
        <v/>
      </c>
      <c r="D48" s="39" t="str">
        <f t="shared" si="11"/>
        <v/>
      </c>
      <c r="E48" s="76" t="str">
        <f t="shared" si="12"/>
        <v/>
      </c>
      <c r="F48" s="39" t="str">
        <f t="shared" si="13"/>
        <v/>
      </c>
      <c r="G48" s="76" t="str">
        <f t="shared" si="14"/>
        <v/>
      </c>
    </row>
    <row r="49" ht="15.75" customHeight="1">
      <c r="A49" s="73" t="str">
        <f t="array" ref="A49">IFERROR(INDEX(CONTRACHEQUE!$B$8:$B$87,MATCH(17,CONTRACHEQUE!$I$8:$I$87,0)),"")</f>
        <v/>
      </c>
      <c r="B49" s="74" t="str">
        <f t="array" ref="B49">IFERROR(INDEX(CONTRACHEQUE!$G$8:$G$87,MATCH(17,CONTRACHEQUE!$I$8:$I$87,0)),"")</f>
        <v/>
      </c>
      <c r="C49" s="18" t="str">
        <f t="array" ref="C49">IFERROR(INDEX(CONTRACHEQUE!$D$8:$D$87,MATCH(17,CONTRACHEQUE!$I$8:$I$87,0)),"")</f>
        <v/>
      </c>
      <c r="D49" s="39" t="str">
        <f t="shared" si="11"/>
        <v/>
      </c>
      <c r="E49" s="76" t="str">
        <f t="shared" si="12"/>
        <v/>
      </c>
      <c r="F49" s="39" t="str">
        <f t="shared" si="13"/>
        <v/>
      </c>
      <c r="G49" s="76" t="str">
        <f t="shared" si="14"/>
        <v/>
      </c>
    </row>
    <row r="50" ht="15.75" customHeight="1">
      <c r="A50" s="73" t="str">
        <f t="array" ref="A50">IFERROR(INDEX(CONTRACHEQUE!$B$8:$B$87,MATCH(18,CONTRACHEQUE!$I$8:$I$87,0)),"")</f>
        <v/>
      </c>
      <c r="B50" s="74" t="str">
        <f t="array" ref="B50">IFERROR(INDEX(CONTRACHEQUE!$G$8:$G$87,MATCH(18,CONTRACHEQUE!$I$8:$I$87,0)),"")</f>
        <v/>
      </c>
      <c r="C50" s="18" t="str">
        <f t="array" ref="C50">IFERROR(INDEX(CONTRACHEQUE!$D$8:$D$87,MATCH(18,CONTRACHEQUE!$I$8:$I$87,0)),"")</f>
        <v/>
      </c>
      <c r="D50" s="39" t="str">
        <f t="shared" si="11"/>
        <v/>
      </c>
      <c r="E50" s="76" t="str">
        <f t="shared" si="12"/>
        <v/>
      </c>
      <c r="F50" s="39" t="str">
        <f t="shared" si="13"/>
        <v/>
      </c>
      <c r="G50" s="76" t="str">
        <f t="shared" si="14"/>
        <v/>
      </c>
    </row>
    <row r="51" ht="15.75" customHeight="1">
      <c r="A51" s="73" t="str">
        <f t="array" ref="A51">IFERROR(INDEX(CONTRACHEQUE!$B$8:$B$87,MATCH(19,CONTRACHEQUE!$I$8:$I$87,0)),"")</f>
        <v/>
      </c>
      <c r="B51" s="74" t="str">
        <f t="array" ref="B51">IFERROR(INDEX(CONTRACHEQUE!$G$8:$G$87,MATCH(19,CONTRACHEQUE!$I$8:$I$87,0)),"")</f>
        <v/>
      </c>
      <c r="C51" s="18" t="str">
        <f t="array" ref="C51">IFERROR(INDEX(CONTRACHEQUE!$D$8:$D$87,MATCH(19,CONTRACHEQUE!$I$8:$I$87,0)),"")</f>
        <v/>
      </c>
      <c r="D51" s="39" t="str">
        <f t="shared" si="11"/>
        <v/>
      </c>
      <c r="E51" s="76" t="str">
        <f t="shared" si="12"/>
        <v/>
      </c>
      <c r="F51" s="39" t="str">
        <f t="shared" si="13"/>
        <v/>
      </c>
      <c r="G51" s="76" t="str">
        <f t="shared" si="14"/>
        <v/>
      </c>
    </row>
    <row r="52" ht="15.75" customHeight="1">
      <c r="A52" s="73" t="str">
        <f t="array" ref="A52">IFERROR(INDEX(CONTRACHEQUE!$B$8:$B$87,MATCH(20,CONTRACHEQUE!$I$8:$I$87,0)),"")</f>
        <v/>
      </c>
      <c r="B52" s="74" t="str">
        <f t="array" ref="B52">IFERROR(INDEX(CONTRACHEQUE!$G$8:$G$87,MATCH(20,CONTRACHEQUE!$I$8:$I$87,0)),"")</f>
        <v/>
      </c>
      <c r="C52" s="18" t="str">
        <f t="array" ref="C52">IFERROR(INDEX(CONTRACHEQUE!$D$8:$D$87,MATCH(20,CONTRACHEQUE!$I$8:$I$87,0)),"")</f>
        <v/>
      </c>
      <c r="D52" s="39" t="str">
        <f t="shared" si="11"/>
        <v/>
      </c>
      <c r="E52" s="76" t="str">
        <f t="shared" si="12"/>
        <v/>
      </c>
      <c r="F52" s="39" t="str">
        <f t="shared" si="13"/>
        <v/>
      </c>
      <c r="G52" s="76" t="str">
        <f t="shared" si="14"/>
        <v/>
      </c>
    </row>
    <row r="53" ht="15.75" customHeight="1">
      <c r="A53" s="73" t="str">
        <f t="array" ref="A53">IFERROR(INDEX(CONTRACHEQUE!$B$8:$B$87,MATCH(21,CONTRACHEQUE!$I$8:$I$87,0)),"")</f>
        <v/>
      </c>
      <c r="B53" s="74" t="str">
        <f t="array" ref="B53">IFERROR(INDEX(CONTRACHEQUE!$G$8:$G$87,MATCH(21,CONTRACHEQUE!$I$8:$I$87,0)),"")</f>
        <v/>
      </c>
      <c r="C53" s="18" t="str">
        <f t="array" ref="C53">IFERROR(INDEX(CONTRACHEQUE!$D$8:$D$87,MATCH(21,CONTRACHEQUE!$I$8:$I$87,0)),"")</f>
        <v/>
      </c>
      <c r="D53" s="39" t="str">
        <f t="shared" si="11"/>
        <v/>
      </c>
      <c r="E53" s="76" t="str">
        <f t="shared" si="12"/>
        <v/>
      </c>
      <c r="F53" s="39" t="str">
        <f t="shared" si="13"/>
        <v/>
      </c>
      <c r="G53" s="76" t="str">
        <f t="shared" si="14"/>
        <v/>
      </c>
    </row>
    <row r="54" ht="15.75" customHeight="1">
      <c r="A54" s="73" t="str">
        <f t="array" ref="A54">IFERROR(INDEX(CONTRACHEQUE!$B$8:$B$87,MATCH(22,CONTRACHEQUE!$I$8:$I$87,0)),"")</f>
        <v/>
      </c>
      <c r="B54" s="74" t="str">
        <f t="array" ref="B54">IFERROR(INDEX(CONTRACHEQUE!$G$8:$G$87,MATCH(22,CONTRACHEQUE!$I$8:$I$87,0)),"")</f>
        <v/>
      </c>
      <c r="C54" s="18" t="str">
        <f t="array" ref="C54">IFERROR(INDEX(CONTRACHEQUE!$D$8:$D$87,MATCH(22,CONTRACHEQUE!$I$8:$I$87,0)),"")</f>
        <v/>
      </c>
      <c r="D54" s="39" t="str">
        <f t="shared" si="11"/>
        <v/>
      </c>
      <c r="E54" s="76" t="str">
        <f t="shared" si="12"/>
        <v/>
      </c>
      <c r="F54" s="39" t="str">
        <f t="shared" si="13"/>
        <v/>
      </c>
      <c r="G54" s="76" t="str">
        <f t="shared" si="14"/>
        <v/>
      </c>
    </row>
    <row r="55" ht="15.75" customHeight="1">
      <c r="A55" s="73" t="str">
        <f t="array" ref="A55">IFERROR(INDEX(CONTRACHEQUE!$B$8:$B$87,MATCH(23,CONTRACHEQUE!$I$8:$I$87,0)),"")</f>
        <v/>
      </c>
      <c r="B55" s="74" t="str">
        <f t="array" ref="B55">IFERROR(INDEX(CONTRACHEQUE!$G$8:$G$87,MATCH(23,CONTRACHEQUE!$I$8:$I$87,0)),"")</f>
        <v/>
      </c>
      <c r="C55" s="18" t="str">
        <f t="array" ref="C55">IFERROR(INDEX(CONTRACHEQUE!$D$8:$D$87,MATCH(23,CONTRACHEQUE!$I$8:$I$87,0)),"")</f>
        <v/>
      </c>
      <c r="D55" s="39" t="str">
        <f t="shared" si="11"/>
        <v/>
      </c>
      <c r="E55" s="76" t="str">
        <f t="shared" si="12"/>
        <v/>
      </c>
      <c r="F55" s="39" t="str">
        <f t="shared" si="13"/>
        <v/>
      </c>
      <c r="G55" s="76" t="str">
        <f t="shared" si="14"/>
        <v/>
      </c>
    </row>
    <row r="56" ht="15.75" customHeight="1">
      <c r="A56" s="73" t="str">
        <f t="array" ref="A56">IFERROR(INDEX(CONTRACHEQUE!$B$8:$B$87,MATCH(24,CONTRACHEQUE!$I$8:$I$87,0)),"")</f>
        <v/>
      </c>
      <c r="B56" s="74" t="str">
        <f t="array" ref="B56">IFERROR(INDEX(CONTRACHEQUE!$G$8:$G$87,MATCH(24,CONTRACHEQUE!$I$8:$I$87,0)),"")</f>
        <v/>
      </c>
      <c r="C56" s="18" t="str">
        <f t="array" ref="C56">IFERROR(INDEX(CONTRACHEQUE!$D$8:$D$87,MATCH(24,CONTRACHEQUE!$I$8:$I$87,0)),"")</f>
        <v/>
      </c>
      <c r="D56" s="39" t="str">
        <f t="shared" si="11"/>
        <v/>
      </c>
      <c r="E56" s="76" t="str">
        <f t="shared" si="12"/>
        <v/>
      </c>
      <c r="F56" s="39" t="str">
        <f t="shared" si="13"/>
        <v/>
      </c>
      <c r="G56" s="76" t="str">
        <f t="shared" si="14"/>
        <v/>
      </c>
    </row>
    <row r="57" ht="15.75" customHeight="1">
      <c r="A57" s="73" t="str">
        <f t="array" ref="A57">IFERROR(INDEX(CONTRACHEQUE!$B$8:$B$87,MATCH(25,CONTRACHEQUE!$I$8:$I$87,0)),"")</f>
        <v/>
      </c>
      <c r="B57" s="74" t="str">
        <f t="array" ref="B57">IFERROR(INDEX(CONTRACHEQUE!$G$8:$G$87,MATCH(25,CONTRACHEQUE!$I$8:$I$87,0)),"")</f>
        <v/>
      </c>
      <c r="C57" s="18" t="str">
        <f t="array" ref="C57">IFERROR(INDEX(CONTRACHEQUE!$D$8:$D$87,MATCH(25,CONTRACHEQUE!$I$8:$I$87,0)),"")</f>
        <v/>
      </c>
      <c r="D57" s="39" t="str">
        <f t="shared" si="11"/>
        <v/>
      </c>
      <c r="E57" s="76" t="str">
        <f t="shared" si="12"/>
        <v/>
      </c>
      <c r="F57" s="39" t="str">
        <f t="shared" si="13"/>
        <v/>
      </c>
      <c r="G57" s="76" t="str">
        <f t="shared" si="14"/>
        <v/>
      </c>
    </row>
    <row r="58" ht="15.75" customHeight="1">
      <c r="A58" s="36" t="s">
        <v>44</v>
      </c>
      <c r="B58" s="80"/>
      <c r="C58" s="41">
        <f t="shared" ref="C58:G58" si="15">SUM(C33:C57)</f>
        <v>0</v>
      </c>
      <c r="D58" s="41">
        <f t="shared" si="15"/>
        <v>0</v>
      </c>
      <c r="E58" s="52">
        <f t="shared" si="15"/>
        <v>0</v>
      </c>
      <c r="F58" s="41">
        <f t="shared" si="15"/>
        <v>0</v>
      </c>
      <c r="G58" s="52">
        <f t="shared" si="15"/>
        <v>0</v>
      </c>
    </row>
    <row r="59" ht="15.75" customHeight="1"/>
    <row r="60" ht="24.0" customHeight="1">
      <c r="A60" s="84" t="str">
        <f>IF(COUNTIF(CONTRACHEQUE!$I$8:$I$87,"&gt;"&amp;25)&gt;0,"ATENÇÃO: há mais de 25 rubricas consignadas — os totais dos itens 2 e 3 estão corretos, mas nem todas aparecem na lista acima.","")</f>
        <v/>
      </c>
    </row>
    <row r="61" ht="24.0" customHeight="1">
      <c r="A61" s="60" t="s">
        <v>175</v>
      </c>
    </row>
    <row r="62" ht="24.0" customHeight="1">
      <c r="A62" s="60" t="s">
        <v>176</v>
      </c>
    </row>
    <row r="63" ht="24.0" customHeight="1">
      <c r="A63" s="60" t="s">
        <v>177</v>
      </c>
    </row>
    <row r="64" ht="24.0" customHeight="1">
      <c r="A64" s="60" t="s">
        <v>178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60:G60"/>
    <mergeCell ref="A61:G61"/>
    <mergeCell ref="A62:G62"/>
    <mergeCell ref="A63:G63"/>
    <mergeCell ref="A64:G64"/>
    <mergeCell ref="A1:G2"/>
    <mergeCell ref="A3:G3"/>
    <mergeCell ref="A5:G5"/>
    <mergeCell ref="A10:G10"/>
    <mergeCell ref="A17:G17"/>
    <mergeCell ref="A27:G29"/>
    <mergeCell ref="A31:G3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7.0"/>
    <col customWidth="1" min="3" max="4" width="12.0"/>
    <col customWidth="1" min="5" max="5" width="16.0"/>
    <col customWidth="1" min="6" max="6" width="3.0"/>
    <col customWidth="1" min="7" max="7" width="26.0"/>
    <col customWidth="1" min="8" max="8" width="14.0"/>
    <col customWidth="1" min="9" max="9" width="3.0"/>
    <col customWidth="1" min="10" max="10" width="26.0"/>
    <col customWidth="1" min="11" max="11" width="24.0"/>
    <col customWidth="1" min="12" max="12" width="15.0"/>
  </cols>
  <sheetData>
    <row r="1">
      <c r="A1" s="14" t="s">
        <v>12</v>
      </c>
      <c r="B1" s="8"/>
      <c r="C1" s="8"/>
      <c r="D1" s="8"/>
      <c r="E1" s="8"/>
    </row>
    <row r="2">
      <c r="A2" s="9"/>
    </row>
    <row r="3" ht="21.75" customHeight="1">
      <c r="A3" s="15" t="str">
        <f>"READEQUAÇÃO DE MARGEM — "&amp;IF(CONTRACHEQUE!$B$3="","[CLIENTE]",UPPER(CONTRACHEQUE!$B$3))&amp;IF(CONTRACHEQUE!$B$5="",""," — COMPETÊNCIA "&amp;CONTRACHEQUE!$B$5)</f>
        <v>READEQUAÇÃO DE MARGEM — [CLIENTE]</v>
      </c>
      <c r="B3" s="2"/>
      <c r="C3" s="2"/>
      <c r="D3" s="2"/>
      <c r="E3" s="2"/>
      <c r="G3" s="16" t="s">
        <v>13</v>
      </c>
      <c r="H3" s="2"/>
      <c r="J3" s="16" t="s">
        <v>14</v>
      </c>
      <c r="K3" s="2"/>
      <c r="L3" s="2"/>
    </row>
    <row r="4">
      <c r="A4" s="17" t="s">
        <v>15</v>
      </c>
      <c r="B4" s="18">
        <f>H23</f>
        <v>0</v>
      </c>
      <c r="G4" s="19" t="s">
        <v>16</v>
      </c>
      <c r="H4" s="19" t="s">
        <v>17</v>
      </c>
      <c r="J4" s="19" t="s">
        <v>18</v>
      </c>
      <c r="K4" s="19" t="s">
        <v>19</v>
      </c>
      <c r="L4" s="19" t="s">
        <v>20</v>
      </c>
    </row>
    <row r="5">
      <c r="G5" s="23" t="str">
        <f t="array" ref="G5">IFERROR(INDEX(CONTRACHEQUE!$B$8:$B$87,MATCH(1,CONTRACHEQUE!$H$8:$H$87,0)),"")</f>
        <v/>
      </c>
      <c r="H5" s="25" t="str">
        <f t="array" ref="H5">IFERROR(INDEX(CONTRACHEQUE!$D$8:$D$87,MATCH(1,CONTRACHEQUE!$H$8:$H$87,0)),"")</f>
        <v/>
      </c>
      <c r="J5" s="23" t="str">
        <f t="array" ref="J5">IFERROR(INDEX(CONTRACHEQUE!$B$8:$B$87,MATCH(1,CONTRACHEQUE!$I$8:$I$87,0)),"")</f>
        <v/>
      </c>
      <c r="K5" s="23" t="str">
        <f t="array" ref="K5">IFERROR(INDEX(CONTRACHEQUE!$G$8:$G$87,MATCH(1,CONTRACHEQUE!$I$8:$I$87,0)),"")</f>
        <v/>
      </c>
      <c r="L5" s="25" t="str">
        <f t="array" ref="L5">IFERROR(INDEX(CONTRACHEQUE!$D$8:$D$87,MATCH(1,CONTRACHEQUE!$I$8:$I$87,0)),"")</f>
        <v/>
      </c>
    </row>
    <row r="6">
      <c r="A6" s="17" t="s">
        <v>22</v>
      </c>
      <c r="B6" s="18">
        <f>H20</f>
        <v>0</v>
      </c>
      <c r="G6" s="23" t="str">
        <f t="array" ref="G6">IFERROR(INDEX(CONTRACHEQUE!$B$8:$B$87,MATCH(2,CONTRACHEQUE!$H$8:$H$87,0)),"")</f>
        <v/>
      </c>
      <c r="H6" s="25" t="str">
        <f t="array" ref="H6">IFERROR(INDEX(CONTRACHEQUE!$D$8:$D$87,MATCH(2,CONTRACHEQUE!$H$8:$H$87,0)),"")</f>
        <v/>
      </c>
      <c r="J6" s="23" t="str">
        <f t="array" ref="J6">IFERROR(INDEX(CONTRACHEQUE!$B$8:$B$87,MATCH(2,CONTRACHEQUE!$I$8:$I$87,0)),"")</f>
        <v/>
      </c>
      <c r="K6" s="23" t="str">
        <f t="array" ref="K6">IFERROR(INDEX(CONTRACHEQUE!$G$8:$G$87,MATCH(2,CONTRACHEQUE!$I$8:$I$87,0)),"")</f>
        <v/>
      </c>
      <c r="L6" s="25" t="str">
        <f t="array" ref="L6">IFERROR(INDEX(CONTRACHEQUE!$D$8:$D$87,MATCH(2,CONTRACHEQUE!$I$8:$I$87,0)),"")</f>
        <v/>
      </c>
    </row>
    <row r="7">
      <c r="G7" s="23" t="str">
        <f t="array" ref="G7">IFERROR(INDEX(CONTRACHEQUE!$B$8:$B$87,MATCH(3,CONTRACHEQUE!$H$8:$H$87,0)),"")</f>
        <v/>
      </c>
      <c r="H7" s="25" t="str">
        <f t="array" ref="H7">IFERROR(INDEX(CONTRACHEQUE!$D$8:$D$87,MATCH(3,CONTRACHEQUE!$H$8:$H$87,0)),"")</f>
        <v/>
      </c>
      <c r="J7" s="23" t="str">
        <f t="array" ref="J7">IFERROR(INDEX(CONTRACHEQUE!$B$8:$B$87,MATCH(3,CONTRACHEQUE!$I$8:$I$87,0)),"")</f>
        <v/>
      </c>
      <c r="K7" s="23" t="str">
        <f t="array" ref="K7">IFERROR(INDEX(CONTRACHEQUE!$G$8:$G$87,MATCH(3,CONTRACHEQUE!$I$8:$I$87,0)),"")</f>
        <v/>
      </c>
      <c r="L7" s="25" t="str">
        <f t="array" ref="L7">IFERROR(INDEX(CONTRACHEQUE!$D$8:$D$87,MATCH(3,CONTRACHEQUE!$I$8:$I$87,0)),"")</f>
        <v/>
      </c>
    </row>
    <row r="8">
      <c r="A8" s="36" t="s">
        <v>43</v>
      </c>
      <c r="B8" s="41">
        <f>B4-B6</f>
        <v>0</v>
      </c>
      <c r="C8" s="42">
        <v>1.0</v>
      </c>
      <c r="G8" s="23" t="str">
        <f t="array" ref="G8">IFERROR(INDEX(CONTRACHEQUE!$B$8:$B$87,MATCH(4,CONTRACHEQUE!$H$8:$H$87,0)),"")</f>
        <v/>
      </c>
      <c r="H8" s="25" t="str">
        <f t="array" ref="H8">IFERROR(INDEX(CONTRACHEQUE!$D$8:$D$87,MATCH(4,CONTRACHEQUE!$H$8:$H$87,0)),"")</f>
        <v/>
      </c>
      <c r="J8" s="23" t="str">
        <f t="array" ref="J8">IFERROR(INDEX(CONTRACHEQUE!$B$8:$B$87,MATCH(4,CONTRACHEQUE!$I$8:$I$87,0)),"")</f>
        <v/>
      </c>
      <c r="K8" s="23" t="str">
        <f t="array" ref="K8">IFERROR(INDEX(CONTRACHEQUE!$G$8:$G$87,MATCH(4,CONTRACHEQUE!$I$8:$I$87,0)),"")</f>
        <v/>
      </c>
      <c r="L8" s="25" t="str">
        <f t="array" ref="L8">IFERROR(INDEX(CONTRACHEQUE!$D$8:$D$87,MATCH(4,CONTRACHEQUE!$I$8:$I$87,0)),"")</f>
        <v/>
      </c>
    </row>
    <row r="9">
      <c r="G9" s="23" t="str">
        <f t="array" ref="G9">IFERROR(INDEX(CONTRACHEQUE!$B$8:$B$87,MATCH(5,CONTRACHEQUE!$H$8:$H$87,0)),"")</f>
        <v/>
      </c>
      <c r="H9" s="25" t="str">
        <f t="array" ref="H9">IFERROR(INDEX(CONTRACHEQUE!$D$8:$D$87,MATCH(5,CONTRACHEQUE!$H$8:$H$87,0)),"")</f>
        <v/>
      </c>
      <c r="J9" s="23" t="str">
        <f t="array" ref="J9">IFERROR(INDEX(CONTRACHEQUE!$B$8:$B$87,MATCH(5,CONTRACHEQUE!$I$8:$I$87,0)),"")</f>
        <v/>
      </c>
      <c r="K9" s="23" t="str">
        <f t="array" ref="K9">IFERROR(INDEX(CONTRACHEQUE!$G$8:$G$87,MATCH(5,CONTRACHEQUE!$I$8:$I$87,0)),"")</f>
        <v/>
      </c>
      <c r="L9" s="25" t="str">
        <f t="array" ref="L9">IFERROR(INDEX(CONTRACHEQUE!$D$8:$D$87,MATCH(5,CONTRACHEQUE!$I$8:$I$87,0)),"")</f>
        <v/>
      </c>
    </row>
    <row r="10">
      <c r="A10" s="17" t="s">
        <v>61</v>
      </c>
      <c r="B10" s="18">
        <f>MIN(B13,B8*$H$24)</f>
        <v>0</v>
      </c>
      <c r="C10" s="38">
        <f t="shared" ref="C10:C13" si="1">IF($B$8=0,0,B10/$B$8)</f>
        <v>0</v>
      </c>
      <c r="G10" s="23" t="str">
        <f t="array" ref="G10">IFERROR(INDEX(CONTRACHEQUE!$B$8:$B$87,MATCH(6,CONTRACHEQUE!$H$8:$H$87,0)),"")</f>
        <v/>
      </c>
      <c r="H10" s="25" t="str">
        <f t="array" ref="H10">IFERROR(INDEX(CONTRACHEQUE!$D$8:$D$87,MATCH(6,CONTRACHEQUE!$H$8:$H$87,0)),"")</f>
        <v/>
      </c>
      <c r="J10" s="23" t="str">
        <f t="array" ref="J10">IFERROR(INDEX(CONTRACHEQUE!$B$8:$B$87,MATCH(6,CONTRACHEQUE!$I$8:$I$87,0)),"")</f>
        <v/>
      </c>
      <c r="K10" s="23" t="str">
        <f t="array" ref="K10">IFERROR(INDEX(CONTRACHEQUE!$G$8:$G$87,MATCH(6,CONTRACHEQUE!$I$8:$I$87,0)),"")</f>
        <v/>
      </c>
      <c r="L10" s="25" t="str">
        <f t="array" ref="L10">IFERROR(INDEX(CONTRACHEQUE!$D$8:$D$87,MATCH(6,CONTRACHEQUE!$I$8:$I$87,0)),"")</f>
        <v/>
      </c>
    </row>
    <row r="11">
      <c r="A11" s="58" t="s">
        <v>78</v>
      </c>
      <c r="B11" s="44">
        <f>MAX(0,B13-B8*$H$24)</f>
        <v>0</v>
      </c>
      <c r="C11" s="75">
        <f t="shared" si="1"/>
        <v>0</v>
      </c>
      <c r="G11" s="23" t="str">
        <f t="array" ref="G11">IFERROR(INDEX(CONTRACHEQUE!$B$8:$B$87,MATCH(7,CONTRACHEQUE!$H$8:$H$87,0)),"")</f>
        <v/>
      </c>
      <c r="H11" s="25" t="str">
        <f t="array" ref="H11">IFERROR(INDEX(CONTRACHEQUE!$D$8:$D$87,MATCH(7,CONTRACHEQUE!$H$8:$H$87,0)),"")</f>
        <v/>
      </c>
      <c r="J11" s="23" t="str">
        <f t="array" ref="J11">IFERROR(INDEX(CONTRACHEQUE!$B$8:$B$87,MATCH(7,CONTRACHEQUE!$I$8:$I$87,0)),"")</f>
        <v/>
      </c>
      <c r="K11" s="23" t="str">
        <f t="array" ref="K11">IFERROR(INDEX(CONTRACHEQUE!$G$8:$G$87,MATCH(7,CONTRACHEQUE!$I$8:$I$87,0)),"")</f>
        <v/>
      </c>
      <c r="L11" s="25" t="str">
        <f t="array" ref="L11">IFERROR(INDEX(CONTRACHEQUE!$D$8:$D$87,MATCH(7,CONTRACHEQUE!$I$8:$I$87,0)),"")</f>
        <v/>
      </c>
    </row>
    <row r="12">
      <c r="A12" s="17" t="s">
        <v>59</v>
      </c>
      <c r="B12" s="18">
        <f>B8-B13</f>
        <v>0</v>
      </c>
      <c r="C12" s="38">
        <f t="shared" si="1"/>
        <v>0</v>
      </c>
      <c r="G12" s="23" t="str">
        <f t="array" ref="G12">IFERROR(INDEX(CONTRACHEQUE!$B$8:$B$87,MATCH(8,CONTRACHEQUE!$H$8:$H$87,0)),"")</f>
        <v/>
      </c>
      <c r="H12" s="25" t="str">
        <f t="array" ref="H12">IFERROR(INDEX(CONTRACHEQUE!$D$8:$D$87,MATCH(8,CONTRACHEQUE!$H$8:$H$87,0)),"")</f>
        <v/>
      </c>
      <c r="J12" s="23" t="str">
        <f t="array" ref="J12">IFERROR(INDEX(CONTRACHEQUE!$B$8:$B$87,MATCH(8,CONTRACHEQUE!$I$8:$I$87,0)),"")</f>
        <v/>
      </c>
      <c r="K12" s="23" t="str">
        <f t="array" ref="K12">IFERROR(INDEX(CONTRACHEQUE!$G$8:$G$87,MATCH(8,CONTRACHEQUE!$I$8:$I$87,0)),"")</f>
        <v/>
      </c>
      <c r="L12" s="25" t="str">
        <f t="array" ref="L12">IFERROR(INDEX(CONTRACHEQUE!$D$8:$D$87,MATCH(8,CONTRACHEQUE!$I$8:$I$87,0)),"")</f>
        <v/>
      </c>
    </row>
    <row r="13">
      <c r="A13" s="36" t="s">
        <v>60</v>
      </c>
      <c r="B13" s="41">
        <f>L20</f>
        <v>0</v>
      </c>
      <c r="C13" s="42">
        <f t="shared" si="1"/>
        <v>0</v>
      </c>
      <c r="G13" s="23" t="str">
        <f t="array" ref="G13">IFERROR(INDEX(CONTRACHEQUE!$B$8:$B$87,MATCH(9,CONTRACHEQUE!$H$8:$H$87,0)),"")</f>
        <v/>
      </c>
      <c r="H13" s="25" t="str">
        <f t="array" ref="H13">IFERROR(INDEX(CONTRACHEQUE!$D$8:$D$87,MATCH(9,CONTRACHEQUE!$H$8:$H$87,0)),"")</f>
        <v/>
      </c>
      <c r="J13" s="23" t="str">
        <f t="array" ref="J13">IFERROR(INDEX(CONTRACHEQUE!$B$8:$B$87,MATCH(9,CONTRACHEQUE!$I$8:$I$87,0)),"")</f>
        <v/>
      </c>
      <c r="K13" s="23" t="str">
        <f t="array" ref="K13">IFERROR(INDEX(CONTRACHEQUE!$G$8:$G$87,MATCH(9,CONTRACHEQUE!$I$8:$I$87,0)),"")</f>
        <v/>
      </c>
      <c r="L13" s="25" t="str">
        <f t="array" ref="L13">IFERROR(INDEX(CONTRACHEQUE!$D$8:$D$87,MATCH(9,CONTRACHEQUE!$I$8:$I$87,0)),"")</f>
        <v/>
      </c>
    </row>
    <row r="14">
      <c r="G14" s="23" t="str">
        <f t="array" ref="G14">IFERROR(INDEX(CONTRACHEQUE!$B$8:$B$87,MATCH(10,CONTRACHEQUE!$H$8:$H$87,0)),"")</f>
        <v/>
      </c>
      <c r="H14" s="25" t="str">
        <f t="array" ref="H14">IFERROR(INDEX(CONTRACHEQUE!$D$8:$D$87,MATCH(10,CONTRACHEQUE!$H$8:$H$87,0)),"")</f>
        <v/>
      </c>
      <c r="J14" s="23" t="str">
        <f t="array" ref="J14">IFERROR(INDEX(CONTRACHEQUE!$B$8:$B$87,MATCH(10,CONTRACHEQUE!$I$8:$I$87,0)),"")</f>
        <v/>
      </c>
      <c r="K14" s="23" t="str">
        <f t="array" ref="K14">IFERROR(INDEX(CONTRACHEQUE!$G$8:$G$87,MATCH(10,CONTRACHEQUE!$I$8:$I$87,0)),"")</f>
        <v/>
      </c>
      <c r="L14" s="25" t="str">
        <f t="array" ref="L14">IFERROR(INDEX(CONTRACHEQUE!$D$8:$D$87,MATCH(10,CONTRACHEQUE!$I$8:$I$87,0)),"")</f>
        <v/>
      </c>
    </row>
    <row r="15" ht="21.75" customHeight="1">
      <c r="A15" s="61">
        <f>C13</f>
        <v>0</v>
      </c>
      <c r="B15" s="63" t="s">
        <v>64</v>
      </c>
      <c r="C15" s="5"/>
      <c r="D15" s="5"/>
      <c r="E15" s="5"/>
      <c r="G15" s="23" t="str">
        <f t="array" ref="G15">IFERROR(INDEX(CONTRACHEQUE!$B$8:$B$87,MATCH(11,CONTRACHEQUE!$H$8:$H$87,0)),"")</f>
        <v/>
      </c>
      <c r="H15" s="25" t="str">
        <f t="array" ref="H15">IFERROR(INDEX(CONTRACHEQUE!$D$8:$D$87,MATCH(11,CONTRACHEQUE!$H$8:$H$87,0)),"")</f>
        <v/>
      </c>
      <c r="J15" s="23" t="str">
        <f t="array" ref="J15">IFERROR(INDEX(CONTRACHEQUE!$B$8:$B$87,MATCH(11,CONTRACHEQUE!$I$8:$I$87,0)),"")</f>
        <v/>
      </c>
      <c r="K15" s="23" t="str">
        <f t="array" ref="K15">IFERROR(INDEX(CONTRACHEQUE!$G$8:$G$87,MATCH(11,CONTRACHEQUE!$I$8:$I$87,0)),"")</f>
        <v/>
      </c>
      <c r="L15" s="25" t="str">
        <f t="array" ref="L15">IFERROR(INDEX(CONTRACHEQUE!$D$8:$D$87,MATCH(11,CONTRACHEQUE!$I$8:$I$87,0)),"")</f>
        <v/>
      </c>
    </row>
    <row r="16">
      <c r="G16" s="23" t="str">
        <f t="array" ref="G16">IFERROR(INDEX(CONTRACHEQUE!$B$8:$B$87,MATCH(12,CONTRACHEQUE!$H$8:$H$87,0)),"")</f>
        <v/>
      </c>
      <c r="H16" s="25" t="str">
        <f t="array" ref="H16">IFERROR(INDEX(CONTRACHEQUE!$D$8:$D$87,MATCH(12,CONTRACHEQUE!$H$8:$H$87,0)),"")</f>
        <v/>
      </c>
      <c r="J16" s="23" t="str">
        <f t="array" ref="J16">IFERROR(INDEX(CONTRACHEQUE!$B$8:$B$87,MATCH(12,CONTRACHEQUE!$I$8:$I$87,0)),"")</f>
        <v/>
      </c>
      <c r="K16" s="23" t="str">
        <f t="array" ref="K16">IFERROR(INDEX(CONTRACHEQUE!$G$8:$G$87,MATCH(12,CONTRACHEQUE!$I$8:$I$87,0)),"")</f>
        <v/>
      </c>
      <c r="L16" s="25" t="str">
        <f t="array" ref="L16">IFERROR(INDEX(CONTRACHEQUE!$D$8:$D$87,MATCH(12,CONTRACHEQUE!$I$8:$I$87,0)),"")</f>
        <v/>
      </c>
    </row>
    <row r="17">
      <c r="G17" s="23" t="str">
        <f t="array" ref="G17">IFERROR(INDEX(CONTRACHEQUE!$B$8:$B$87,MATCH(13,CONTRACHEQUE!$H$8:$H$87,0)),"")</f>
        <v/>
      </c>
      <c r="H17" s="25" t="str">
        <f t="array" ref="H17">IFERROR(INDEX(CONTRACHEQUE!$D$8:$D$87,MATCH(13,CONTRACHEQUE!$H$8:$H$87,0)),"")</f>
        <v/>
      </c>
      <c r="J17" s="23" t="str">
        <f t="array" ref="J17">IFERROR(INDEX(CONTRACHEQUE!$B$8:$B$87,MATCH(13,CONTRACHEQUE!$I$8:$I$87,0)),"")</f>
        <v/>
      </c>
      <c r="K17" s="23" t="str">
        <f t="array" ref="K17">IFERROR(INDEX(CONTRACHEQUE!$G$8:$G$87,MATCH(13,CONTRACHEQUE!$I$8:$I$87,0)),"")</f>
        <v/>
      </c>
      <c r="L17" s="25" t="str">
        <f t="array" ref="L17">IFERROR(INDEX(CONTRACHEQUE!$D$8:$D$87,MATCH(13,CONTRACHEQUE!$I$8:$I$87,0)),"")</f>
        <v/>
      </c>
    </row>
    <row r="18">
      <c r="G18" s="23" t="str">
        <f t="array" ref="G18">IFERROR(INDEX(CONTRACHEQUE!$B$8:$B$87,MATCH(14,CONTRACHEQUE!$H$8:$H$87,0)),"")</f>
        <v/>
      </c>
      <c r="H18" s="25" t="str">
        <f t="array" ref="H18">IFERROR(INDEX(CONTRACHEQUE!$D$8:$D$87,MATCH(14,CONTRACHEQUE!$H$8:$H$87,0)),"")</f>
        <v/>
      </c>
      <c r="J18" s="23" t="str">
        <f t="array" ref="J18">IFERROR(INDEX(CONTRACHEQUE!$B$8:$B$87,MATCH(14,CONTRACHEQUE!$I$8:$I$87,0)),"")</f>
        <v/>
      </c>
      <c r="K18" s="23" t="str">
        <f t="array" ref="K18">IFERROR(INDEX(CONTRACHEQUE!$G$8:$G$87,MATCH(14,CONTRACHEQUE!$I$8:$I$87,0)),"")</f>
        <v/>
      </c>
      <c r="L18" s="25" t="str">
        <f t="array" ref="L18">IFERROR(INDEX(CONTRACHEQUE!$D$8:$D$87,MATCH(14,CONTRACHEQUE!$I$8:$I$87,0)),"")</f>
        <v/>
      </c>
    </row>
    <row r="19">
      <c r="G19" s="23" t="str">
        <f t="array" ref="G19">IFERROR(INDEX(CONTRACHEQUE!$B$8:$B$87,MATCH(15,CONTRACHEQUE!$H$8:$H$87,0)),"")</f>
        <v/>
      </c>
      <c r="H19" s="25" t="str">
        <f t="array" ref="H19">IFERROR(INDEX(CONTRACHEQUE!$D$8:$D$87,MATCH(15,CONTRACHEQUE!$H$8:$H$87,0)),"")</f>
        <v/>
      </c>
      <c r="J19" s="23" t="str">
        <f t="array" ref="J19">IFERROR(INDEX(CONTRACHEQUE!$B$8:$B$87,MATCH(15,CONTRACHEQUE!$I$8:$I$87,0)),"")</f>
        <v/>
      </c>
      <c r="K19" s="23" t="str">
        <f t="array" ref="K19">IFERROR(INDEX(CONTRACHEQUE!$G$8:$G$87,MATCH(15,CONTRACHEQUE!$I$8:$I$87,0)),"")</f>
        <v/>
      </c>
      <c r="L19" s="25" t="str">
        <f t="array" ref="L19">IFERROR(INDEX(CONTRACHEQUE!$D$8:$D$87,MATCH(15,CONTRACHEQUE!$I$8:$I$87,0)),"")</f>
        <v/>
      </c>
    </row>
    <row r="20">
      <c r="G20" s="36" t="s">
        <v>44</v>
      </c>
      <c r="H20" s="41">
        <f>SUMIF(CONTRACHEQUE!$G$8:$G$87,"DESCONTO OBRIGATÓRIO",CONTRACHEQUE!$D$8:$D$87)</f>
        <v>0</v>
      </c>
      <c r="J20" s="36" t="s">
        <v>44</v>
      </c>
      <c r="K20" s="80"/>
      <c r="L20" s="41">
        <f>SUMIF(CONTRACHEQUE!$G$8:$G$87,"EMPRÉSTIMO CONSIGNADO",CONTRACHEQUE!$D$8:$D$87)+SUMIF(CONTRACHEQUE!$G$8:$G$87,"CARTÃO CONSIGNADO",CONTRACHEQUE!$D$8:$D$87)+SUMIF(CONTRACHEQUE!$G$8:$G$87,"CARTÃO BENEFÍCIO",CONTRACHEQUE!$D$8:$D$87)</f>
        <v>0</v>
      </c>
    </row>
    <row r="21" ht="15.75" customHeight="1">
      <c r="K21" s="20" t="s">
        <v>35</v>
      </c>
      <c r="L21" s="81">
        <f>SUMIF(CONTRACHEQUE!$G$8:$G$87,K21,CONTRACHEQUE!$D$8:$D$87)</f>
        <v>0</v>
      </c>
    </row>
    <row r="22" ht="15.0" customHeight="1">
      <c r="G22" s="16" t="s">
        <v>169</v>
      </c>
      <c r="H22" s="2"/>
      <c r="K22" s="20" t="s">
        <v>36</v>
      </c>
      <c r="L22" s="81">
        <f>SUMIF(CONTRACHEQUE!$G$8:$G$87,K22,CONTRACHEQUE!$D$8:$D$87)</f>
        <v>0</v>
      </c>
    </row>
    <row r="23" ht="15.75" customHeight="1">
      <c r="G23" s="73" t="s">
        <v>25</v>
      </c>
      <c r="H23" s="18">
        <f>SUMIF(CONTRACHEQUE!$G$8:$G$87,"PROVENTO",CONTRACHEQUE!$D$8:$D$87)</f>
        <v>0</v>
      </c>
      <c r="K23" s="20" t="s">
        <v>38</v>
      </c>
      <c r="L23" s="81">
        <f>SUMIF(CONTRACHEQUE!$G$8:$G$87,K23,CONTRACHEQUE!$D$8:$D$87)</f>
        <v>0</v>
      </c>
    </row>
    <row r="24" ht="25.5" customHeight="1">
      <c r="G24" s="73" t="s">
        <v>170</v>
      </c>
      <c r="H24" s="43">
        <v>0.4</v>
      </c>
    </row>
    <row r="25" ht="15.75" customHeight="1"/>
    <row r="26" ht="15.75" customHeight="1">
      <c r="G26" s="82" t="str">
        <f>IF(CONTRACHEQUE!$D$92&gt;0,"ATENÇÃO: "&amp;CONTRACHEQUE!$D$92&amp;" rubrica(s) pendente(s) de revisão na aba CONTRACHEQUE.",IF(COUNTIF(CONTRACHEQUE!$H$8:$H$87,"&gt;"&amp;15)+COUNTIF(CONTRACHEQUE!$I$8:$I$87,"&gt;"&amp;15)&gt;0,"ATENÇÃO: há mais de 15 itens em uma das listas — os totais estão corretos, mas nem todos aparecem no quadro.","✔ Todas as rubricas classificadas."))</f>
        <v>✔ Todas as rubricas classificadas.</v>
      </c>
      <c r="H26" s="27"/>
      <c r="I26" s="27"/>
      <c r="J26" s="27"/>
      <c r="K26" s="27"/>
      <c r="L26" s="27"/>
    </row>
    <row r="27" ht="15.75" customHeight="1">
      <c r="G27" s="6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9.5" customHeight="1">
      <c r="A35" s="17" t="s">
        <v>67</v>
      </c>
      <c r="B35" s="66">
        <f>B13</f>
        <v>0</v>
      </c>
      <c r="C35" s="67" t="s">
        <v>72</v>
      </c>
      <c r="D35" s="27"/>
      <c r="E35" s="68">
        <f>B35-B36</f>
        <v>0</v>
      </c>
    </row>
    <row r="36" ht="19.5" customHeight="1">
      <c r="A36" s="17" t="s">
        <v>171</v>
      </c>
      <c r="B36" s="69">
        <f>MIN(B13,B8*$H$24)</f>
        <v>0</v>
      </c>
      <c r="C36" s="64"/>
      <c r="E36" s="70"/>
    </row>
    <row r="37" ht="19.5" customHeight="1">
      <c r="A37" s="36" t="s">
        <v>74</v>
      </c>
      <c r="B37" s="71">
        <f>B12+E35</f>
        <v>0</v>
      </c>
      <c r="C37" s="29"/>
      <c r="D37" s="30"/>
      <c r="E37" s="72"/>
    </row>
    <row r="38" ht="15.75" customHeight="1"/>
    <row r="39" ht="21.75" customHeight="1">
      <c r="A39" s="83" t="s">
        <v>172</v>
      </c>
    </row>
    <row r="40" ht="21.75" customHeight="1">
      <c r="A40" s="83" t="s">
        <v>173</v>
      </c>
    </row>
    <row r="41" ht="21.75" customHeight="1">
      <c r="A41" s="83" t="s">
        <v>174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35:D37"/>
    <mergeCell ref="E35:E37"/>
    <mergeCell ref="A39:E39"/>
    <mergeCell ref="A40:E40"/>
    <mergeCell ref="A41:E41"/>
    <mergeCell ref="A1:E2"/>
    <mergeCell ref="A3:E3"/>
    <mergeCell ref="G3:H3"/>
    <mergeCell ref="J3:L3"/>
    <mergeCell ref="B15:E15"/>
    <mergeCell ref="G22:H22"/>
    <mergeCell ref="G26:L2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7.0"/>
    <col customWidth="1" min="3" max="4" width="12.0"/>
    <col customWidth="1" min="5" max="5" width="16.0"/>
    <col customWidth="1" min="6" max="6" width="3.0"/>
    <col customWidth="1" min="7" max="7" width="26.0"/>
    <col customWidth="1" min="8" max="8" width="16.0"/>
    <col customWidth="1" min="9" max="10" width="13.0"/>
    <col customWidth="1" min="11" max="12" width="16.0"/>
    <col customWidth="1" min="13" max="13" width="19.0"/>
  </cols>
  <sheetData>
    <row r="1" ht="15.0" customHeight="1">
      <c r="A1" s="26" t="s">
        <v>12</v>
      </c>
      <c r="B1" s="27"/>
      <c r="C1" s="27"/>
      <c r="D1" s="27"/>
      <c r="E1" s="28"/>
    </row>
    <row r="2">
      <c r="A2" s="29"/>
      <c r="B2" s="30"/>
      <c r="C2" s="30"/>
      <c r="D2" s="30"/>
      <c r="E2" s="31"/>
    </row>
    <row r="3" ht="15.0" customHeight="1">
      <c r="A3" s="32" t="str">
        <f>"CENÁRIO B (35% + 5%) — "&amp;IF(CONTRACHEQUE!$B$3="","[CLIENTE]",UPPER(CONTRACHEQUE!$B$3))&amp;IF(CONTRACHEQUE!$B$5="",""," — COMPETÊNCIA "&amp;CONTRACHEQUE!$B$5)</f>
        <v>CENÁRIO B (35% + 5%) — [CLIENTE]</v>
      </c>
      <c r="B3" s="5"/>
      <c r="C3" s="5"/>
      <c r="D3" s="5"/>
      <c r="E3" s="5"/>
      <c r="G3" s="34" t="s">
        <v>37</v>
      </c>
      <c r="H3" s="5"/>
      <c r="I3" s="5"/>
      <c r="J3" s="5"/>
      <c r="K3" s="5"/>
      <c r="L3" s="5"/>
      <c r="M3" s="6"/>
    </row>
    <row r="4">
      <c r="A4" s="17" t="s">
        <v>15</v>
      </c>
      <c r="B4" s="18">
        <f>SUMIF(CONTRACHEQUE!$G$8:$G$87,"PROVENTO",CONTRACHEQUE!$D$8:$D$87)</f>
        <v>0</v>
      </c>
      <c r="G4" s="19" t="s">
        <v>19</v>
      </c>
      <c r="H4" s="19" t="s">
        <v>29</v>
      </c>
      <c r="I4" s="19" t="s">
        <v>30</v>
      </c>
      <c r="J4" s="19" t="s">
        <v>39</v>
      </c>
      <c r="K4" s="19" t="s">
        <v>40</v>
      </c>
      <c r="L4" s="19" t="s">
        <v>41</v>
      </c>
      <c r="M4" s="19" t="s">
        <v>42</v>
      </c>
    </row>
    <row r="5">
      <c r="G5" s="17" t="s">
        <v>35</v>
      </c>
      <c r="H5" s="18">
        <f>SUMIF(CONTRACHEQUE!$G$8:$G$87,"EMPRÉSTIMO CONSIGNADO",CONTRACHEQUE!$D$8:$D$87)</f>
        <v>0</v>
      </c>
      <c r="I5" s="38">
        <f t="shared" ref="I5:I8" si="1">IF($B$8=0,0,H5/$B$8)</f>
        <v>0</v>
      </c>
      <c r="J5" s="43">
        <v>0.35</v>
      </c>
      <c r="K5" s="18">
        <f t="shared" ref="K5:K6" si="2">$B$8*J5</f>
        <v>0</v>
      </c>
      <c r="L5" s="44">
        <f>MAX(0,H5+H7-K5)</f>
        <v>0</v>
      </c>
      <c r="M5" s="45" t="str">
        <f>IF(H5+H7=0,"—",IF(L5&gt;0,"ACIMA DA MARGEM","Dentro da margem"))</f>
        <v>—</v>
      </c>
    </row>
    <row r="6">
      <c r="A6" s="17" t="s">
        <v>22</v>
      </c>
      <c r="B6" s="18">
        <f>SUMIF(CONTRACHEQUE!$G$8:$G$87,"DESCONTO OBRIGATÓRIO",CONTRACHEQUE!$D$8:$D$87)</f>
        <v>0</v>
      </c>
      <c r="G6" s="17" t="s">
        <v>36</v>
      </c>
      <c r="H6" s="18">
        <f>SUMIF(CONTRACHEQUE!$G$8:$G$87,"CARTÃO CONSIGNADO",CONTRACHEQUE!$D$8:$D$87)</f>
        <v>0</v>
      </c>
      <c r="I6" s="38">
        <f t="shared" si="1"/>
        <v>0</v>
      </c>
      <c r="J6" s="43">
        <v>0.05</v>
      </c>
      <c r="K6" s="18">
        <f t="shared" si="2"/>
        <v>0</v>
      </c>
      <c r="L6" s="44">
        <f>MAX(0,H6-K6)</f>
        <v>0</v>
      </c>
      <c r="M6" s="45" t="str">
        <f>IF(H6=0,"—",IF(L6&gt;0,"ACIMA DA MARGEM","Dentro da margem"))</f>
        <v>—</v>
      </c>
    </row>
    <row r="7">
      <c r="G7" s="17" t="s">
        <v>38</v>
      </c>
      <c r="H7" s="18">
        <f>SUMIF(CONTRACHEQUE!$G$8:$G$87,"CARTÃO BENEFÍCIO",CONTRACHEQUE!$D$8:$D$87)</f>
        <v>0</v>
      </c>
      <c r="I7" s="38">
        <f t="shared" si="1"/>
        <v>0</v>
      </c>
      <c r="J7" s="38">
        <f>J5</f>
        <v>0.35</v>
      </c>
      <c r="K7" s="18" t="str">
        <f>"(incl. nos 35%)"</f>
        <v>(incl. nos 35%)</v>
      </c>
      <c r="L7" s="44">
        <f>0</f>
        <v>0</v>
      </c>
      <c r="M7" s="45" t="str">
        <f>IF(H7=0,"—",IF(L5&gt;0,"ACIMA DA MARGEM (35%)","Dentro da margem"))</f>
        <v>—</v>
      </c>
    </row>
    <row r="8">
      <c r="A8" s="36" t="s">
        <v>43</v>
      </c>
      <c r="B8" s="41">
        <f>B4-B6</f>
        <v>0</v>
      </c>
      <c r="C8" s="49">
        <v>1.0</v>
      </c>
      <c r="G8" s="36" t="s">
        <v>44</v>
      </c>
      <c r="H8" s="41">
        <f>SUM(H5:H7)</f>
        <v>0</v>
      </c>
      <c r="I8" s="42">
        <f t="shared" si="1"/>
        <v>0</v>
      </c>
      <c r="J8" s="42">
        <f>J5+J6</f>
        <v>0.4</v>
      </c>
      <c r="K8" s="41">
        <f t="shared" ref="K8:L8" si="3">SUM(K5:K7)</f>
        <v>0</v>
      </c>
      <c r="L8" s="52">
        <f t="shared" si="3"/>
        <v>0</v>
      </c>
      <c r="M8" s="55" t="str">
        <f>IF(L8&gt;0,"HÁ EXCESSO","Sem excesso")</f>
        <v>Sem excesso</v>
      </c>
    </row>
    <row r="10">
      <c r="A10" s="17" t="s">
        <v>56</v>
      </c>
      <c r="B10" s="18">
        <f>H8-L8</f>
        <v>0</v>
      </c>
      <c r="C10" s="56">
        <f t="shared" ref="C10:C13" si="4">IF($B$8=0,0,B10/$B$8)</f>
        <v>0</v>
      </c>
      <c r="G10" s="57" t="str">
        <f>'SE 40%'!G26</f>
        <v>✔ Todas as rubricas classificadas.</v>
      </c>
    </row>
    <row r="11">
      <c r="A11" s="58" t="s">
        <v>58</v>
      </c>
      <c r="B11" s="44">
        <f>L8</f>
        <v>0</v>
      </c>
      <c r="C11" s="59">
        <f t="shared" si="4"/>
        <v>0</v>
      </c>
    </row>
    <row r="12">
      <c r="A12" s="17" t="s">
        <v>59</v>
      </c>
      <c r="B12" s="18">
        <f>B8-B13</f>
        <v>0</v>
      </c>
      <c r="C12" s="56">
        <f t="shared" si="4"/>
        <v>0</v>
      </c>
    </row>
    <row r="13" ht="15.0" customHeight="1">
      <c r="A13" s="36" t="s">
        <v>60</v>
      </c>
      <c r="B13" s="41">
        <f>H8</f>
        <v>0</v>
      </c>
      <c r="C13" s="49">
        <f t="shared" si="4"/>
        <v>0</v>
      </c>
      <c r="G13" s="60" t="s">
        <v>62</v>
      </c>
    </row>
    <row r="14" ht="15.0" customHeight="1">
      <c r="G14" s="60" t="s">
        <v>63</v>
      </c>
    </row>
    <row r="15" ht="15.0" customHeight="1">
      <c r="A15" s="61">
        <f>C13</f>
        <v>0</v>
      </c>
      <c r="B15" s="63" t="s">
        <v>64</v>
      </c>
      <c r="C15" s="5"/>
      <c r="D15" s="5"/>
      <c r="E15" s="6"/>
      <c r="G15" s="60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0" customHeight="1">
      <c r="A35" s="17" t="s">
        <v>67</v>
      </c>
      <c r="B35" s="66">
        <f>B13</f>
        <v>0</v>
      </c>
      <c r="C35" s="67" t="s">
        <v>72</v>
      </c>
      <c r="D35" s="28"/>
      <c r="E35" s="68">
        <f>B35-B36</f>
        <v>0</v>
      </c>
    </row>
    <row r="36" ht="15.75" customHeight="1">
      <c r="A36" s="17" t="s">
        <v>73</v>
      </c>
      <c r="B36" s="69">
        <f>B10</f>
        <v>0</v>
      </c>
      <c r="C36" s="64"/>
      <c r="D36" s="65"/>
      <c r="E36" s="70"/>
    </row>
    <row r="37" ht="15.75" customHeight="1">
      <c r="A37" s="36" t="s">
        <v>74</v>
      </c>
      <c r="B37" s="71">
        <f>B12+E35</f>
        <v>0</v>
      </c>
      <c r="C37" s="29"/>
      <c r="D37" s="31"/>
      <c r="E37" s="72"/>
    </row>
    <row r="38" ht="15.75" customHeight="1"/>
    <row r="39" ht="25.5" customHeight="1">
      <c r="A39" s="60" t="s">
        <v>75</v>
      </c>
    </row>
    <row r="40" ht="25.5" customHeight="1">
      <c r="A40" s="60" t="s">
        <v>76</v>
      </c>
    </row>
    <row r="41" ht="25.5" customHeight="1">
      <c r="A41" s="60" t="s">
        <v>77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5:E15"/>
    <mergeCell ref="C35:D37"/>
    <mergeCell ref="E35:E37"/>
    <mergeCell ref="A39:E39"/>
    <mergeCell ref="A40:E40"/>
    <mergeCell ref="A41:E41"/>
    <mergeCell ref="A1:E2"/>
    <mergeCell ref="A3:E3"/>
    <mergeCell ref="G3:M3"/>
    <mergeCell ref="G10:M11"/>
    <mergeCell ref="G13:M13"/>
    <mergeCell ref="G14:M14"/>
    <mergeCell ref="G15:M15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3" width="8.0"/>
    <col customWidth="1" min="4" max="4" width="16.0"/>
    <col customWidth="1" min="5" max="7" width="26.0"/>
    <col customWidth="1" hidden="1" min="8" max="9" width="6.0"/>
  </cols>
  <sheetData>
    <row r="1" ht="24.0" customHeight="1">
      <c r="A1" s="1" t="s">
        <v>0</v>
      </c>
      <c r="B1" s="2"/>
      <c r="C1" s="2"/>
      <c r="D1" s="2"/>
      <c r="E1" s="2"/>
      <c r="F1" s="2"/>
      <c r="G1" s="2"/>
    </row>
    <row r="3" ht="15.0" customHeight="1">
      <c r="A3" s="3" t="s">
        <v>1</v>
      </c>
      <c r="B3" s="4"/>
      <c r="C3" s="5"/>
      <c r="D3" s="6"/>
      <c r="E3" s="7" t="s">
        <v>2</v>
      </c>
      <c r="F3" s="8"/>
      <c r="G3" s="8"/>
    </row>
    <row r="4">
      <c r="A4" s="3" t="s">
        <v>3</v>
      </c>
      <c r="B4" s="4"/>
      <c r="C4" s="5"/>
      <c r="D4" s="6"/>
      <c r="E4" s="9"/>
    </row>
    <row r="5">
      <c r="A5" s="3" t="s">
        <v>4</v>
      </c>
      <c r="B5" s="4"/>
      <c r="C5" s="5"/>
      <c r="D5" s="6"/>
      <c r="E5" s="9"/>
    </row>
    <row r="7" ht="30.0" customHeight="1">
      <c r="A7" s="10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</row>
    <row r="8">
      <c r="A8" s="11"/>
      <c r="B8" s="12"/>
      <c r="C8" s="11"/>
      <c r="D8" s="13"/>
      <c r="E8" s="20" t="str">
        <f t="array" ref="E8">IF(D8="","",IF(UPPER(C8)="P","PROVENTO",IF(C8="","INFORMAR TIPO",IFERROR(INDEX(REGRAS!$B$5:$B$118,MATCH(1,INDEX((REGRAS!$A$5:$A$118&lt;&gt;"")*ISNUMBER(SEARCH(REGRAS!$A$5:$A$118,B8)),0),0)),"REVISAR"))))</f>
        <v/>
      </c>
      <c r="F8" s="21"/>
      <c r="G8" s="22" t="str">
        <f t="shared" ref="G8:G87" si="1">IF(F8&lt;&gt;"",F8,E8)</f>
        <v/>
      </c>
      <c r="H8" s="24" t="str">
        <f t="shared" ref="H8:H87" si="2">IF(G8="DESCONTO OBRIGATÓRIO",COUNTIF($G$8:G8,"DESCONTO OBRIGATÓRIO"),"")</f>
        <v/>
      </c>
      <c r="I8" s="24" t="str">
        <f t="shared" ref="I8:I87" si="3">IF(OR(G8="EMPRÉSTIMO CONSIGNADO",G8="CARTÃO CONSIGNADO",G8="CARTÃO BENEFÍCIO"),COUNTIF($G$8:G8,"EMPRÉSTIMO CONSIGNADO")+COUNTIF($G$8:G8,"CARTÃO CONSIGNADO")+COUNTIF($G$8:G8,"CARTÃO BENEFÍCIO"),"")</f>
        <v/>
      </c>
    </row>
    <row r="9">
      <c r="A9" s="11"/>
      <c r="B9" s="12"/>
      <c r="C9" s="11"/>
      <c r="D9" s="13"/>
      <c r="E9" s="20" t="str">
        <f t="array" ref="E9">IF(D9="","",IF(UPPER(C9)="P","PROVENTO",IF(C9="","INFORMAR TIPO",IFERROR(INDEX(REGRAS!$B$5:$B$118,MATCH(1,INDEX((REGRAS!$A$5:$A$118&lt;&gt;"")*ISNUMBER(SEARCH(REGRAS!$A$5:$A$118,B9)),0),0)),"REVISAR"))))</f>
        <v/>
      </c>
      <c r="F9" s="21"/>
      <c r="G9" s="22" t="str">
        <f t="shared" si="1"/>
        <v/>
      </c>
      <c r="H9" s="24" t="str">
        <f t="shared" si="2"/>
        <v/>
      </c>
      <c r="I9" s="24" t="str">
        <f t="shared" si="3"/>
        <v/>
      </c>
    </row>
    <row r="10">
      <c r="A10" s="11"/>
      <c r="B10" s="12"/>
      <c r="C10" s="11"/>
      <c r="D10" s="13"/>
      <c r="E10" s="20" t="str">
        <f t="array" ref="E10">IF(D10="","",IF(UPPER(C10)="P","PROVENTO",IF(C10="","INFORMAR TIPO",IFERROR(INDEX(REGRAS!$B$5:$B$118,MATCH(1,INDEX((REGRAS!$A$5:$A$118&lt;&gt;"")*ISNUMBER(SEARCH(REGRAS!$A$5:$A$118,B10)),0),0)),"REVISAR"))))</f>
        <v/>
      </c>
      <c r="F10" s="21"/>
      <c r="G10" s="22" t="str">
        <f t="shared" si="1"/>
        <v/>
      </c>
      <c r="H10" s="24" t="str">
        <f t="shared" si="2"/>
        <v/>
      </c>
      <c r="I10" s="24" t="str">
        <f t="shared" si="3"/>
        <v/>
      </c>
    </row>
    <row r="11">
      <c r="A11" s="11"/>
      <c r="B11" s="12"/>
      <c r="C11" s="11"/>
      <c r="D11" s="13"/>
      <c r="E11" s="20" t="str">
        <f t="array" ref="E11">IF(D11="","",IF(UPPER(C11)="P","PROVENTO",IF(C11="","INFORMAR TIPO",IFERROR(INDEX(REGRAS!$B$5:$B$118,MATCH(1,INDEX((REGRAS!$A$5:$A$118&lt;&gt;"")*ISNUMBER(SEARCH(REGRAS!$A$5:$A$118,B11)),0),0)),"REVISAR"))))</f>
        <v/>
      </c>
      <c r="F11" s="21"/>
      <c r="G11" s="22" t="str">
        <f t="shared" si="1"/>
        <v/>
      </c>
      <c r="H11" s="24" t="str">
        <f t="shared" si="2"/>
        <v/>
      </c>
      <c r="I11" s="24" t="str">
        <f t="shared" si="3"/>
        <v/>
      </c>
    </row>
    <row r="12">
      <c r="A12" s="11"/>
      <c r="B12" s="12"/>
      <c r="C12" s="11"/>
      <c r="D12" s="13"/>
      <c r="E12" s="20" t="str">
        <f t="array" ref="E12">IF(D12="","",IF(UPPER(C12)="P","PROVENTO",IF(C12="","INFORMAR TIPO",IFERROR(INDEX(REGRAS!$B$5:$B$118,MATCH(1,INDEX((REGRAS!$A$5:$A$118&lt;&gt;"")*ISNUMBER(SEARCH(REGRAS!$A$5:$A$118,B12)),0),0)),"REVISAR"))))</f>
        <v/>
      </c>
      <c r="F12" s="21"/>
      <c r="G12" s="22" t="str">
        <f t="shared" si="1"/>
        <v/>
      </c>
      <c r="H12" s="24" t="str">
        <f t="shared" si="2"/>
        <v/>
      </c>
      <c r="I12" s="24" t="str">
        <f t="shared" si="3"/>
        <v/>
      </c>
    </row>
    <row r="13">
      <c r="A13" s="11"/>
      <c r="B13" s="12"/>
      <c r="C13" s="11"/>
      <c r="D13" s="13"/>
      <c r="E13" s="20" t="str">
        <f t="array" ref="E13">IF(D13="","",IF(UPPER(C13)="P","PROVENTO",IF(C13="","INFORMAR TIPO",IFERROR(INDEX(REGRAS!$B$5:$B$118,MATCH(1,INDEX((REGRAS!$A$5:$A$118&lt;&gt;"")*ISNUMBER(SEARCH(REGRAS!$A$5:$A$118,B13)),0),0)),"REVISAR"))))</f>
        <v/>
      </c>
      <c r="F13" s="21"/>
      <c r="G13" s="22" t="str">
        <f t="shared" si="1"/>
        <v/>
      </c>
      <c r="H13" s="24" t="str">
        <f t="shared" si="2"/>
        <v/>
      </c>
      <c r="I13" s="24" t="str">
        <f t="shared" si="3"/>
        <v/>
      </c>
    </row>
    <row r="14">
      <c r="A14" s="11"/>
      <c r="B14" s="12"/>
      <c r="C14" s="11"/>
      <c r="D14" s="13"/>
      <c r="E14" s="20" t="str">
        <f t="array" ref="E14">IF(D14="","",IF(UPPER(C14)="P","PROVENTO",IF(C14="","INFORMAR TIPO",IFERROR(INDEX(REGRAS!$B$5:$B$118,MATCH(1,INDEX((REGRAS!$A$5:$A$118&lt;&gt;"")*ISNUMBER(SEARCH(REGRAS!$A$5:$A$118,B14)),0),0)),"REVISAR"))))</f>
        <v/>
      </c>
      <c r="F14" s="21"/>
      <c r="G14" s="22" t="str">
        <f t="shared" si="1"/>
        <v/>
      </c>
      <c r="H14" s="24" t="str">
        <f t="shared" si="2"/>
        <v/>
      </c>
      <c r="I14" s="24" t="str">
        <f t="shared" si="3"/>
        <v/>
      </c>
    </row>
    <row r="15">
      <c r="A15" s="11"/>
      <c r="B15" s="12"/>
      <c r="C15" s="11"/>
      <c r="D15" s="13"/>
      <c r="E15" s="20" t="str">
        <f t="array" ref="E15">IF(D15="","",IF(UPPER(C15)="P","PROVENTO",IF(C15="","INFORMAR TIPO",IFERROR(INDEX(REGRAS!$B$5:$B$118,MATCH(1,INDEX((REGRAS!$A$5:$A$118&lt;&gt;"")*ISNUMBER(SEARCH(REGRAS!$A$5:$A$118,B15)),0),0)),"REVISAR"))))</f>
        <v/>
      </c>
      <c r="F15" s="21"/>
      <c r="G15" s="22" t="str">
        <f t="shared" si="1"/>
        <v/>
      </c>
      <c r="H15" s="24" t="str">
        <f t="shared" si="2"/>
        <v/>
      </c>
      <c r="I15" s="24" t="str">
        <f t="shared" si="3"/>
        <v/>
      </c>
    </row>
    <row r="16">
      <c r="A16" s="11"/>
      <c r="B16" s="12"/>
      <c r="C16" s="11"/>
      <c r="D16" s="13"/>
      <c r="E16" s="20" t="str">
        <f t="array" ref="E16">IF(D16="","",IF(UPPER(C16)="P","PROVENTO",IF(C16="","INFORMAR TIPO",IFERROR(INDEX(REGRAS!$B$5:$B$118,MATCH(1,INDEX((REGRAS!$A$5:$A$118&lt;&gt;"")*ISNUMBER(SEARCH(REGRAS!$A$5:$A$118,B16)),0),0)),"REVISAR"))))</f>
        <v/>
      </c>
      <c r="F16" s="21"/>
      <c r="G16" s="22" t="str">
        <f t="shared" si="1"/>
        <v/>
      </c>
      <c r="H16" s="24" t="str">
        <f t="shared" si="2"/>
        <v/>
      </c>
      <c r="I16" s="24" t="str">
        <f t="shared" si="3"/>
        <v/>
      </c>
    </row>
    <row r="17">
      <c r="A17" s="11"/>
      <c r="B17" s="12"/>
      <c r="C17" s="11"/>
      <c r="D17" s="13"/>
      <c r="E17" s="20" t="str">
        <f t="array" ref="E17">IF(D17="","",IF(UPPER(C17)="P","PROVENTO",IF(C17="","INFORMAR TIPO",IFERROR(INDEX(REGRAS!$B$5:$B$118,MATCH(1,INDEX((REGRAS!$A$5:$A$118&lt;&gt;"")*ISNUMBER(SEARCH(REGRAS!$A$5:$A$118,B17)),0),0)),"REVISAR"))))</f>
        <v/>
      </c>
      <c r="F17" s="21"/>
      <c r="G17" s="22" t="str">
        <f t="shared" si="1"/>
        <v/>
      </c>
      <c r="H17" s="24" t="str">
        <f t="shared" si="2"/>
        <v/>
      </c>
      <c r="I17" s="24" t="str">
        <f t="shared" si="3"/>
        <v/>
      </c>
    </row>
    <row r="18">
      <c r="A18" s="11"/>
      <c r="B18" s="12"/>
      <c r="C18" s="11"/>
      <c r="D18" s="13"/>
      <c r="E18" s="20" t="str">
        <f t="array" ref="E18">IF(D18="","",IF(UPPER(C18)="P","PROVENTO",IF(C18="","INFORMAR TIPO",IFERROR(INDEX(REGRAS!$B$5:$B$118,MATCH(1,INDEX((REGRAS!$A$5:$A$118&lt;&gt;"")*ISNUMBER(SEARCH(REGRAS!$A$5:$A$118,B18)),0),0)),"REVISAR"))))</f>
        <v/>
      </c>
      <c r="F18" s="21"/>
      <c r="G18" s="22" t="str">
        <f t="shared" si="1"/>
        <v/>
      </c>
      <c r="H18" s="24" t="str">
        <f t="shared" si="2"/>
        <v/>
      </c>
      <c r="I18" s="24" t="str">
        <f t="shared" si="3"/>
        <v/>
      </c>
    </row>
    <row r="19">
      <c r="A19" s="11"/>
      <c r="B19" s="12"/>
      <c r="C19" s="11"/>
      <c r="D19" s="13"/>
      <c r="E19" s="20" t="str">
        <f t="array" ref="E19">IF(D19="","",IF(UPPER(C19)="P","PROVENTO",IF(C19="","INFORMAR TIPO",IFERROR(INDEX(REGRAS!$B$5:$B$118,MATCH(1,INDEX((REGRAS!$A$5:$A$118&lt;&gt;"")*ISNUMBER(SEARCH(REGRAS!$A$5:$A$118,B19)),0),0)),"REVISAR"))))</f>
        <v/>
      </c>
      <c r="F19" s="21"/>
      <c r="G19" s="22" t="str">
        <f t="shared" si="1"/>
        <v/>
      </c>
      <c r="H19" s="24" t="str">
        <f t="shared" si="2"/>
        <v/>
      </c>
      <c r="I19" s="24" t="str">
        <f t="shared" si="3"/>
        <v/>
      </c>
    </row>
    <row r="20">
      <c r="A20" s="11"/>
      <c r="B20" s="12"/>
      <c r="C20" s="11"/>
      <c r="D20" s="13"/>
      <c r="E20" s="20" t="str">
        <f t="array" ref="E20">IF(D20="","",IF(UPPER(C20)="P","PROVENTO",IF(C20="","INFORMAR TIPO",IFERROR(INDEX(REGRAS!$B$5:$B$118,MATCH(1,INDEX((REGRAS!$A$5:$A$118&lt;&gt;"")*ISNUMBER(SEARCH(REGRAS!$A$5:$A$118,B20)),0),0)),"REVISAR"))))</f>
        <v/>
      </c>
      <c r="F20" s="21"/>
      <c r="G20" s="22" t="str">
        <f t="shared" si="1"/>
        <v/>
      </c>
      <c r="H20" s="24" t="str">
        <f t="shared" si="2"/>
        <v/>
      </c>
      <c r="I20" s="24" t="str">
        <f t="shared" si="3"/>
        <v/>
      </c>
    </row>
    <row r="21" ht="15.75" customHeight="1">
      <c r="A21" s="11"/>
      <c r="B21" s="12"/>
      <c r="C21" s="11"/>
      <c r="D21" s="13"/>
      <c r="E21" s="20" t="str">
        <f t="array" ref="E21">IF(D21="","",IF(UPPER(C21)="P","PROVENTO",IF(C21="","INFORMAR TIPO",IFERROR(INDEX(REGRAS!$B$5:$B$118,MATCH(1,INDEX((REGRAS!$A$5:$A$118&lt;&gt;"")*ISNUMBER(SEARCH(REGRAS!$A$5:$A$118,B21)),0),0)),"REVISAR"))))</f>
        <v/>
      </c>
      <c r="F21" s="21"/>
      <c r="G21" s="22" t="str">
        <f t="shared" si="1"/>
        <v/>
      </c>
      <c r="H21" s="24" t="str">
        <f t="shared" si="2"/>
        <v/>
      </c>
      <c r="I21" s="24" t="str">
        <f t="shared" si="3"/>
        <v/>
      </c>
    </row>
    <row r="22" ht="15.75" customHeight="1">
      <c r="A22" s="11"/>
      <c r="B22" s="12"/>
      <c r="C22" s="11"/>
      <c r="D22" s="13"/>
      <c r="E22" s="20" t="str">
        <f t="array" ref="E22">IF(D22="","",IF(UPPER(C22)="P","PROVENTO",IF(C22="","INFORMAR TIPO",IFERROR(INDEX(REGRAS!$B$5:$B$118,MATCH(1,INDEX((REGRAS!$A$5:$A$118&lt;&gt;"")*ISNUMBER(SEARCH(REGRAS!$A$5:$A$118,B22)),0),0)),"REVISAR"))))</f>
        <v/>
      </c>
      <c r="F22" s="21"/>
      <c r="G22" s="22" t="str">
        <f t="shared" si="1"/>
        <v/>
      </c>
      <c r="H22" s="24" t="str">
        <f t="shared" si="2"/>
        <v/>
      </c>
      <c r="I22" s="24" t="str">
        <f t="shared" si="3"/>
        <v/>
      </c>
    </row>
    <row r="23" ht="15.75" customHeight="1">
      <c r="A23" s="11"/>
      <c r="B23" s="12"/>
      <c r="C23" s="11"/>
      <c r="D23" s="13"/>
      <c r="E23" s="20" t="str">
        <f t="array" ref="E23">IF(D23="","",IF(UPPER(C23)="P","PROVENTO",IF(C23="","INFORMAR TIPO",IFERROR(INDEX(REGRAS!$B$5:$B$118,MATCH(1,INDEX((REGRAS!$A$5:$A$118&lt;&gt;"")*ISNUMBER(SEARCH(REGRAS!$A$5:$A$118,B23)),0),0)),"REVISAR"))))</f>
        <v/>
      </c>
      <c r="F23" s="21"/>
      <c r="G23" s="22" t="str">
        <f t="shared" si="1"/>
        <v/>
      </c>
      <c r="H23" s="24" t="str">
        <f t="shared" si="2"/>
        <v/>
      </c>
      <c r="I23" s="24" t="str">
        <f t="shared" si="3"/>
        <v/>
      </c>
    </row>
    <row r="24" ht="15.75" customHeight="1">
      <c r="A24" s="11"/>
      <c r="B24" s="12"/>
      <c r="C24" s="11"/>
      <c r="D24" s="13"/>
      <c r="E24" s="20" t="str">
        <f t="array" ref="E24">IF(D24="","",IF(UPPER(C24)="P","PROVENTO",IF(C24="","INFORMAR TIPO",IFERROR(INDEX(REGRAS!$B$5:$B$118,MATCH(1,INDEX((REGRAS!$A$5:$A$118&lt;&gt;"")*ISNUMBER(SEARCH(REGRAS!$A$5:$A$118,B24)),0),0)),"REVISAR"))))</f>
        <v/>
      </c>
      <c r="F24" s="21"/>
      <c r="G24" s="22" t="str">
        <f t="shared" si="1"/>
        <v/>
      </c>
      <c r="H24" s="24" t="str">
        <f t="shared" si="2"/>
        <v/>
      </c>
      <c r="I24" s="24" t="str">
        <f t="shared" si="3"/>
        <v/>
      </c>
    </row>
    <row r="25" ht="15.75" customHeight="1">
      <c r="A25" s="11"/>
      <c r="B25" s="12"/>
      <c r="C25" s="11"/>
      <c r="D25" s="13"/>
      <c r="E25" s="20" t="str">
        <f t="array" ref="E25">IF(D25="","",IF(UPPER(C25)="P","PROVENTO",IF(C25="","INFORMAR TIPO",IFERROR(INDEX(REGRAS!$B$5:$B$118,MATCH(1,INDEX((REGRAS!$A$5:$A$118&lt;&gt;"")*ISNUMBER(SEARCH(REGRAS!$A$5:$A$118,B25)),0),0)),"REVISAR"))))</f>
        <v/>
      </c>
      <c r="F25" s="21"/>
      <c r="G25" s="22" t="str">
        <f t="shared" si="1"/>
        <v/>
      </c>
      <c r="H25" s="24" t="str">
        <f t="shared" si="2"/>
        <v/>
      </c>
      <c r="I25" s="24" t="str">
        <f t="shared" si="3"/>
        <v/>
      </c>
    </row>
    <row r="26" ht="15.75" customHeight="1">
      <c r="A26" s="11"/>
      <c r="B26" s="12"/>
      <c r="C26" s="11"/>
      <c r="D26" s="13"/>
      <c r="E26" s="20" t="str">
        <f t="array" ref="E26">IF(D26="","",IF(UPPER(C26)="P","PROVENTO",IF(C26="","INFORMAR TIPO",IFERROR(INDEX(REGRAS!$B$5:$B$118,MATCH(1,INDEX((REGRAS!$A$5:$A$118&lt;&gt;"")*ISNUMBER(SEARCH(REGRAS!$A$5:$A$118,B26)),0),0)),"REVISAR"))))</f>
        <v/>
      </c>
      <c r="F26" s="21"/>
      <c r="G26" s="22" t="str">
        <f t="shared" si="1"/>
        <v/>
      </c>
      <c r="H26" s="24" t="str">
        <f t="shared" si="2"/>
        <v/>
      </c>
      <c r="I26" s="24" t="str">
        <f t="shared" si="3"/>
        <v/>
      </c>
    </row>
    <row r="27" ht="15.75" customHeight="1">
      <c r="A27" s="11"/>
      <c r="B27" s="12"/>
      <c r="C27" s="11"/>
      <c r="D27" s="13"/>
      <c r="E27" s="20" t="str">
        <f t="array" ref="E27">IF(D27="","",IF(UPPER(C27)="P","PROVENTO",IF(C27="","INFORMAR TIPO",IFERROR(INDEX(REGRAS!$B$5:$B$118,MATCH(1,INDEX((REGRAS!$A$5:$A$118&lt;&gt;"")*ISNUMBER(SEARCH(REGRAS!$A$5:$A$118,B27)),0),0)),"REVISAR"))))</f>
        <v/>
      </c>
      <c r="F27" s="21"/>
      <c r="G27" s="22" t="str">
        <f t="shared" si="1"/>
        <v/>
      </c>
      <c r="H27" s="24" t="str">
        <f t="shared" si="2"/>
        <v/>
      </c>
      <c r="I27" s="24" t="str">
        <f t="shared" si="3"/>
        <v/>
      </c>
    </row>
    <row r="28" ht="15.75" customHeight="1">
      <c r="A28" s="11"/>
      <c r="B28" s="12"/>
      <c r="C28" s="11"/>
      <c r="D28" s="13"/>
      <c r="E28" s="20" t="str">
        <f t="array" ref="E28">IF(D28="","",IF(UPPER(C28)="P","PROVENTO",IF(C28="","INFORMAR TIPO",IFERROR(INDEX(REGRAS!$B$5:$B$118,MATCH(1,INDEX((REGRAS!$A$5:$A$118&lt;&gt;"")*ISNUMBER(SEARCH(REGRAS!$A$5:$A$118,B28)),0),0)),"REVISAR"))))</f>
        <v/>
      </c>
      <c r="F28" s="21"/>
      <c r="G28" s="22" t="str">
        <f t="shared" si="1"/>
        <v/>
      </c>
      <c r="H28" s="24" t="str">
        <f t="shared" si="2"/>
        <v/>
      </c>
      <c r="I28" s="24" t="str">
        <f t="shared" si="3"/>
        <v/>
      </c>
    </row>
    <row r="29" ht="15.75" customHeight="1">
      <c r="A29" s="11"/>
      <c r="B29" s="12"/>
      <c r="C29" s="11"/>
      <c r="D29" s="13"/>
      <c r="E29" s="20" t="str">
        <f t="array" ref="E29">IF(D29="","",IF(UPPER(C29)="P","PROVENTO",IF(C29="","INFORMAR TIPO",IFERROR(INDEX(REGRAS!$B$5:$B$118,MATCH(1,INDEX((REGRAS!$A$5:$A$118&lt;&gt;"")*ISNUMBER(SEARCH(REGRAS!$A$5:$A$118,B29)),0),0)),"REVISAR"))))</f>
        <v/>
      </c>
      <c r="F29" s="21"/>
      <c r="G29" s="22" t="str">
        <f t="shared" si="1"/>
        <v/>
      </c>
      <c r="H29" s="24" t="str">
        <f t="shared" si="2"/>
        <v/>
      </c>
      <c r="I29" s="24" t="str">
        <f t="shared" si="3"/>
        <v/>
      </c>
    </row>
    <row r="30" ht="15.75" customHeight="1">
      <c r="A30" s="11"/>
      <c r="B30" s="12"/>
      <c r="C30" s="11"/>
      <c r="D30" s="13"/>
      <c r="E30" s="20" t="str">
        <f t="array" ref="E30">IF(D30="","",IF(UPPER(C30)="P","PROVENTO",IF(C30="","INFORMAR TIPO",IFERROR(INDEX(REGRAS!$B$5:$B$118,MATCH(1,INDEX((REGRAS!$A$5:$A$118&lt;&gt;"")*ISNUMBER(SEARCH(REGRAS!$A$5:$A$118,B30)),0),0)),"REVISAR"))))</f>
        <v/>
      </c>
      <c r="F30" s="21"/>
      <c r="G30" s="22" t="str">
        <f t="shared" si="1"/>
        <v/>
      </c>
      <c r="H30" s="24" t="str">
        <f t="shared" si="2"/>
        <v/>
      </c>
      <c r="I30" s="24" t="str">
        <f t="shared" si="3"/>
        <v/>
      </c>
    </row>
    <row r="31" ht="15.75" customHeight="1">
      <c r="A31" s="11"/>
      <c r="B31" s="12"/>
      <c r="C31" s="11"/>
      <c r="D31" s="13"/>
      <c r="E31" s="20" t="str">
        <f t="array" ref="E31">IF(D31="","",IF(UPPER(C31)="P","PROVENTO",IF(C31="","INFORMAR TIPO",IFERROR(INDEX(REGRAS!$B$5:$B$118,MATCH(1,INDEX((REGRAS!$A$5:$A$118&lt;&gt;"")*ISNUMBER(SEARCH(REGRAS!$A$5:$A$118,B31)),0),0)),"REVISAR"))))</f>
        <v/>
      </c>
      <c r="F31" s="21"/>
      <c r="G31" s="22" t="str">
        <f t="shared" si="1"/>
        <v/>
      </c>
      <c r="H31" s="24" t="str">
        <f t="shared" si="2"/>
        <v/>
      </c>
      <c r="I31" s="24" t="str">
        <f t="shared" si="3"/>
        <v/>
      </c>
    </row>
    <row r="32" ht="15.75" customHeight="1">
      <c r="A32" s="11"/>
      <c r="B32" s="12"/>
      <c r="C32" s="11"/>
      <c r="D32" s="13"/>
      <c r="E32" s="20" t="str">
        <f t="array" ref="E32">IF(D32="","",IF(UPPER(C32)="P","PROVENTO",IF(C32="","INFORMAR TIPO",IFERROR(INDEX(REGRAS!$B$5:$B$118,MATCH(1,INDEX((REGRAS!$A$5:$A$118&lt;&gt;"")*ISNUMBER(SEARCH(REGRAS!$A$5:$A$118,B32)),0),0)),"REVISAR"))))</f>
        <v/>
      </c>
      <c r="F32" s="21"/>
      <c r="G32" s="22" t="str">
        <f t="shared" si="1"/>
        <v/>
      </c>
      <c r="H32" s="24" t="str">
        <f t="shared" si="2"/>
        <v/>
      </c>
      <c r="I32" s="24" t="str">
        <f t="shared" si="3"/>
        <v/>
      </c>
    </row>
    <row r="33" ht="15.75" customHeight="1">
      <c r="A33" s="11"/>
      <c r="B33" s="12"/>
      <c r="C33" s="11"/>
      <c r="D33" s="13"/>
      <c r="E33" s="20" t="str">
        <f t="array" ref="E33">IF(D33="","",IF(UPPER(C33)="P","PROVENTO",IF(C33="","INFORMAR TIPO",IFERROR(INDEX(REGRAS!$B$5:$B$118,MATCH(1,INDEX((REGRAS!$A$5:$A$118&lt;&gt;"")*ISNUMBER(SEARCH(REGRAS!$A$5:$A$118,B33)),0),0)),"REVISAR"))))</f>
        <v/>
      </c>
      <c r="F33" s="21"/>
      <c r="G33" s="22" t="str">
        <f t="shared" si="1"/>
        <v/>
      </c>
      <c r="H33" s="24" t="str">
        <f t="shared" si="2"/>
        <v/>
      </c>
      <c r="I33" s="24" t="str">
        <f t="shared" si="3"/>
        <v/>
      </c>
    </row>
    <row r="34" ht="15.75" customHeight="1">
      <c r="A34" s="11"/>
      <c r="B34" s="12"/>
      <c r="C34" s="11"/>
      <c r="D34" s="13"/>
      <c r="E34" s="20" t="str">
        <f t="array" ref="E34">IF(D34="","",IF(UPPER(C34)="P","PROVENTO",IF(C34="","INFORMAR TIPO",IFERROR(INDEX(REGRAS!$B$5:$B$118,MATCH(1,INDEX((REGRAS!$A$5:$A$118&lt;&gt;"")*ISNUMBER(SEARCH(REGRAS!$A$5:$A$118,B34)),0),0)),"REVISAR"))))</f>
        <v/>
      </c>
      <c r="F34" s="21"/>
      <c r="G34" s="22" t="str">
        <f t="shared" si="1"/>
        <v/>
      </c>
      <c r="H34" s="24" t="str">
        <f t="shared" si="2"/>
        <v/>
      </c>
      <c r="I34" s="24" t="str">
        <f t="shared" si="3"/>
        <v/>
      </c>
    </row>
    <row r="35" ht="15.75" customHeight="1">
      <c r="A35" s="11"/>
      <c r="B35" s="12"/>
      <c r="C35" s="11"/>
      <c r="D35" s="13"/>
      <c r="E35" s="20" t="str">
        <f t="array" ref="E35">IF(D35="","",IF(UPPER(C35)="P","PROVENTO",IF(C35="","INFORMAR TIPO",IFERROR(INDEX(REGRAS!$B$5:$B$118,MATCH(1,INDEX((REGRAS!$A$5:$A$118&lt;&gt;"")*ISNUMBER(SEARCH(REGRAS!$A$5:$A$118,B35)),0),0)),"REVISAR"))))</f>
        <v/>
      </c>
      <c r="F35" s="21"/>
      <c r="G35" s="22" t="str">
        <f t="shared" si="1"/>
        <v/>
      </c>
      <c r="H35" s="24" t="str">
        <f t="shared" si="2"/>
        <v/>
      </c>
      <c r="I35" s="24" t="str">
        <f t="shared" si="3"/>
        <v/>
      </c>
    </row>
    <row r="36" ht="15.75" customHeight="1">
      <c r="A36" s="11"/>
      <c r="B36" s="12"/>
      <c r="C36" s="11"/>
      <c r="D36" s="13"/>
      <c r="E36" s="20" t="str">
        <f t="array" ref="E36">IF(D36="","",IF(UPPER(C36)="P","PROVENTO",IF(C36="","INFORMAR TIPO",IFERROR(INDEX(REGRAS!$B$5:$B$118,MATCH(1,INDEX((REGRAS!$A$5:$A$118&lt;&gt;"")*ISNUMBER(SEARCH(REGRAS!$A$5:$A$118,B36)),0),0)),"REVISAR"))))</f>
        <v/>
      </c>
      <c r="F36" s="21"/>
      <c r="G36" s="22" t="str">
        <f t="shared" si="1"/>
        <v/>
      </c>
      <c r="H36" s="24" t="str">
        <f t="shared" si="2"/>
        <v/>
      </c>
      <c r="I36" s="24" t="str">
        <f t="shared" si="3"/>
        <v/>
      </c>
    </row>
    <row r="37" ht="15.75" customHeight="1">
      <c r="A37" s="11"/>
      <c r="B37" s="12"/>
      <c r="C37" s="11"/>
      <c r="D37" s="13"/>
      <c r="E37" s="20" t="str">
        <f t="array" ref="E37">IF(D37="","",IF(UPPER(C37)="P","PROVENTO",IF(C37="","INFORMAR TIPO",IFERROR(INDEX(REGRAS!$B$5:$B$118,MATCH(1,INDEX((REGRAS!$A$5:$A$118&lt;&gt;"")*ISNUMBER(SEARCH(REGRAS!$A$5:$A$118,B37)),0),0)),"REVISAR"))))</f>
        <v/>
      </c>
      <c r="F37" s="21"/>
      <c r="G37" s="22" t="str">
        <f t="shared" si="1"/>
        <v/>
      </c>
      <c r="H37" s="24" t="str">
        <f t="shared" si="2"/>
        <v/>
      </c>
      <c r="I37" s="24" t="str">
        <f t="shared" si="3"/>
        <v/>
      </c>
    </row>
    <row r="38" ht="15.75" customHeight="1">
      <c r="A38" s="11"/>
      <c r="B38" s="12"/>
      <c r="C38" s="11"/>
      <c r="D38" s="13"/>
      <c r="E38" s="20" t="str">
        <f t="array" ref="E38">IF(D38="","",IF(UPPER(C38)="P","PROVENTO",IF(C38="","INFORMAR TIPO",IFERROR(INDEX(REGRAS!$B$5:$B$118,MATCH(1,INDEX((REGRAS!$A$5:$A$118&lt;&gt;"")*ISNUMBER(SEARCH(REGRAS!$A$5:$A$118,B38)),0),0)),"REVISAR"))))</f>
        <v/>
      </c>
      <c r="F38" s="21"/>
      <c r="G38" s="22" t="str">
        <f t="shared" si="1"/>
        <v/>
      </c>
      <c r="H38" s="24" t="str">
        <f t="shared" si="2"/>
        <v/>
      </c>
      <c r="I38" s="24" t="str">
        <f t="shared" si="3"/>
        <v/>
      </c>
    </row>
    <row r="39" ht="15.75" customHeight="1">
      <c r="A39" s="11"/>
      <c r="B39" s="12"/>
      <c r="C39" s="11"/>
      <c r="D39" s="13"/>
      <c r="E39" s="20" t="str">
        <f t="array" ref="E39">IF(D39="","",IF(UPPER(C39)="P","PROVENTO",IF(C39="","INFORMAR TIPO",IFERROR(INDEX(REGRAS!$B$5:$B$118,MATCH(1,INDEX((REGRAS!$A$5:$A$118&lt;&gt;"")*ISNUMBER(SEARCH(REGRAS!$A$5:$A$118,B39)),0),0)),"REVISAR"))))</f>
        <v/>
      </c>
      <c r="F39" s="21"/>
      <c r="G39" s="22" t="str">
        <f t="shared" si="1"/>
        <v/>
      </c>
      <c r="H39" s="24" t="str">
        <f t="shared" si="2"/>
        <v/>
      </c>
      <c r="I39" s="24" t="str">
        <f t="shared" si="3"/>
        <v/>
      </c>
    </row>
    <row r="40" ht="15.75" customHeight="1">
      <c r="A40" s="11"/>
      <c r="B40" s="12"/>
      <c r="C40" s="11"/>
      <c r="D40" s="13"/>
      <c r="E40" s="20" t="str">
        <f t="array" ref="E40">IF(D40="","",IF(UPPER(C40)="P","PROVENTO",IF(C40="","INFORMAR TIPO",IFERROR(INDEX(REGRAS!$B$5:$B$118,MATCH(1,INDEX((REGRAS!$A$5:$A$118&lt;&gt;"")*ISNUMBER(SEARCH(REGRAS!$A$5:$A$118,B40)),0),0)),"REVISAR"))))</f>
        <v/>
      </c>
      <c r="F40" s="21"/>
      <c r="G40" s="22" t="str">
        <f t="shared" si="1"/>
        <v/>
      </c>
      <c r="H40" s="24" t="str">
        <f t="shared" si="2"/>
        <v/>
      </c>
      <c r="I40" s="24" t="str">
        <f t="shared" si="3"/>
        <v/>
      </c>
    </row>
    <row r="41" ht="15.75" customHeight="1">
      <c r="A41" s="11"/>
      <c r="B41" s="12"/>
      <c r="C41" s="11"/>
      <c r="D41" s="13"/>
      <c r="E41" s="20" t="str">
        <f t="array" ref="E41">IF(D41="","",IF(UPPER(C41)="P","PROVENTO",IF(C41="","INFORMAR TIPO",IFERROR(INDEX(REGRAS!$B$5:$B$118,MATCH(1,INDEX((REGRAS!$A$5:$A$118&lt;&gt;"")*ISNUMBER(SEARCH(REGRAS!$A$5:$A$118,B41)),0),0)),"REVISAR"))))</f>
        <v/>
      </c>
      <c r="F41" s="21"/>
      <c r="G41" s="22" t="str">
        <f t="shared" si="1"/>
        <v/>
      </c>
      <c r="H41" s="24" t="str">
        <f t="shared" si="2"/>
        <v/>
      </c>
      <c r="I41" s="24" t="str">
        <f t="shared" si="3"/>
        <v/>
      </c>
    </row>
    <row r="42" ht="15.75" customHeight="1">
      <c r="A42" s="11"/>
      <c r="B42" s="12"/>
      <c r="C42" s="11"/>
      <c r="D42" s="13"/>
      <c r="E42" s="20" t="str">
        <f t="array" ref="E42">IF(D42="","",IF(UPPER(C42)="P","PROVENTO",IF(C42="","INFORMAR TIPO",IFERROR(INDEX(REGRAS!$B$5:$B$118,MATCH(1,INDEX((REGRAS!$A$5:$A$118&lt;&gt;"")*ISNUMBER(SEARCH(REGRAS!$A$5:$A$118,B42)),0),0)),"REVISAR"))))</f>
        <v/>
      </c>
      <c r="F42" s="21"/>
      <c r="G42" s="22" t="str">
        <f t="shared" si="1"/>
        <v/>
      </c>
      <c r="H42" s="24" t="str">
        <f t="shared" si="2"/>
        <v/>
      </c>
      <c r="I42" s="24" t="str">
        <f t="shared" si="3"/>
        <v/>
      </c>
    </row>
    <row r="43" ht="15.75" customHeight="1">
      <c r="A43" s="11"/>
      <c r="B43" s="12"/>
      <c r="C43" s="11"/>
      <c r="D43" s="13"/>
      <c r="E43" s="20" t="str">
        <f t="array" ref="E43">IF(D43="","",IF(UPPER(C43)="P","PROVENTO",IF(C43="","INFORMAR TIPO",IFERROR(INDEX(REGRAS!$B$5:$B$118,MATCH(1,INDEX((REGRAS!$A$5:$A$118&lt;&gt;"")*ISNUMBER(SEARCH(REGRAS!$A$5:$A$118,B43)),0),0)),"REVISAR"))))</f>
        <v/>
      </c>
      <c r="F43" s="21"/>
      <c r="G43" s="22" t="str">
        <f t="shared" si="1"/>
        <v/>
      </c>
      <c r="H43" s="24" t="str">
        <f t="shared" si="2"/>
        <v/>
      </c>
      <c r="I43" s="24" t="str">
        <f t="shared" si="3"/>
        <v/>
      </c>
    </row>
    <row r="44" ht="15.75" customHeight="1">
      <c r="A44" s="11"/>
      <c r="B44" s="12"/>
      <c r="C44" s="11"/>
      <c r="D44" s="13"/>
      <c r="E44" s="20" t="str">
        <f t="array" ref="E44">IF(D44="","",IF(UPPER(C44)="P","PROVENTO",IF(C44="","INFORMAR TIPO",IFERROR(INDEX(REGRAS!$B$5:$B$118,MATCH(1,INDEX((REGRAS!$A$5:$A$118&lt;&gt;"")*ISNUMBER(SEARCH(REGRAS!$A$5:$A$118,B44)),0),0)),"REVISAR"))))</f>
        <v/>
      </c>
      <c r="F44" s="21"/>
      <c r="G44" s="22" t="str">
        <f t="shared" si="1"/>
        <v/>
      </c>
      <c r="H44" s="24" t="str">
        <f t="shared" si="2"/>
        <v/>
      </c>
      <c r="I44" s="24" t="str">
        <f t="shared" si="3"/>
        <v/>
      </c>
    </row>
    <row r="45" ht="15.75" customHeight="1">
      <c r="A45" s="11"/>
      <c r="B45" s="12"/>
      <c r="C45" s="11"/>
      <c r="D45" s="13"/>
      <c r="E45" s="20" t="str">
        <f t="array" ref="E45">IF(D45="","",IF(UPPER(C45)="P","PROVENTO",IF(C45="","INFORMAR TIPO",IFERROR(INDEX(REGRAS!$B$5:$B$118,MATCH(1,INDEX((REGRAS!$A$5:$A$118&lt;&gt;"")*ISNUMBER(SEARCH(REGRAS!$A$5:$A$118,B45)),0),0)),"REVISAR"))))</f>
        <v/>
      </c>
      <c r="F45" s="21"/>
      <c r="G45" s="22" t="str">
        <f t="shared" si="1"/>
        <v/>
      </c>
      <c r="H45" s="24" t="str">
        <f t="shared" si="2"/>
        <v/>
      </c>
      <c r="I45" s="24" t="str">
        <f t="shared" si="3"/>
        <v/>
      </c>
    </row>
    <row r="46" ht="15.75" customHeight="1">
      <c r="A46" s="11"/>
      <c r="B46" s="12"/>
      <c r="C46" s="11"/>
      <c r="D46" s="13"/>
      <c r="E46" s="20" t="str">
        <f t="array" ref="E46">IF(D46="","",IF(UPPER(C46)="P","PROVENTO",IF(C46="","INFORMAR TIPO",IFERROR(INDEX(REGRAS!$B$5:$B$118,MATCH(1,INDEX((REGRAS!$A$5:$A$118&lt;&gt;"")*ISNUMBER(SEARCH(REGRAS!$A$5:$A$118,B46)),0),0)),"REVISAR"))))</f>
        <v/>
      </c>
      <c r="F46" s="21"/>
      <c r="G46" s="22" t="str">
        <f t="shared" si="1"/>
        <v/>
      </c>
      <c r="H46" s="24" t="str">
        <f t="shared" si="2"/>
        <v/>
      </c>
      <c r="I46" s="24" t="str">
        <f t="shared" si="3"/>
        <v/>
      </c>
    </row>
    <row r="47" ht="15.75" customHeight="1">
      <c r="A47" s="11"/>
      <c r="B47" s="12"/>
      <c r="C47" s="11"/>
      <c r="D47" s="13"/>
      <c r="E47" s="20" t="str">
        <f t="array" ref="E47">IF(D47="","",IF(UPPER(C47)="P","PROVENTO",IF(C47="","INFORMAR TIPO",IFERROR(INDEX(REGRAS!$B$5:$B$118,MATCH(1,INDEX((REGRAS!$A$5:$A$118&lt;&gt;"")*ISNUMBER(SEARCH(REGRAS!$A$5:$A$118,B47)),0),0)),"REVISAR"))))</f>
        <v/>
      </c>
      <c r="F47" s="21"/>
      <c r="G47" s="22" t="str">
        <f t="shared" si="1"/>
        <v/>
      </c>
      <c r="H47" s="24" t="str">
        <f t="shared" si="2"/>
        <v/>
      </c>
      <c r="I47" s="24" t="str">
        <f t="shared" si="3"/>
        <v/>
      </c>
    </row>
    <row r="48" ht="15.75" customHeight="1">
      <c r="A48" s="11"/>
      <c r="B48" s="12"/>
      <c r="C48" s="11"/>
      <c r="D48" s="13"/>
      <c r="E48" s="20" t="str">
        <f t="array" ref="E48">IF(D48="","",IF(UPPER(C48)="P","PROVENTO",IF(C48="","INFORMAR TIPO",IFERROR(INDEX(REGRAS!$B$5:$B$118,MATCH(1,INDEX((REGRAS!$A$5:$A$118&lt;&gt;"")*ISNUMBER(SEARCH(REGRAS!$A$5:$A$118,B48)),0),0)),"REVISAR"))))</f>
        <v/>
      </c>
      <c r="F48" s="21"/>
      <c r="G48" s="22" t="str">
        <f t="shared" si="1"/>
        <v/>
      </c>
      <c r="H48" s="24" t="str">
        <f t="shared" si="2"/>
        <v/>
      </c>
      <c r="I48" s="24" t="str">
        <f t="shared" si="3"/>
        <v/>
      </c>
    </row>
    <row r="49" ht="15.75" customHeight="1">
      <c r="A49" s="11"/>
      <c r="B49" s="12"/>
      <c r="C49" s="11"/>
      <c r="D49" s="13"/>
      <c r="E49" s="20" t="str">
        <f t="array" ref="E49">IF(D49="","",IF(UPPER(C49)="P","PROVENTO",IF(C49="","INFORMAR TIPO",IFERROR(INDEX(REGRAS!$B$5:$B$118,MATCH(1,INDEX((REGRAS!$A$5:$A$118&lt;&gt;"")*ISNUMBER(SEARCH(REGRAS!$A$5:$A$118,B49)),0),0)),"REVISAR"))))</f>
        <v/>
      </c>
      <c r="F49" s="21"/>
      <c r="G49" s="22" t="str">
        <f t="shared" si="1"/>
        <v/>
      </c>
      <c r="H49" s="24" t="str">
        <f t="shared" si="2"/>
        <v/>
      </c>
      <c r="I49" s="24" t="str">
        <f t="shared" si="3"/>
        <v/>
      </c>
    </row>
    <row r="50" ht="15.75" customHeight="1">
      <c r="A50" s="11"/>
      <c r="B50" s="12"/>
      <c r="C50" s="11"/>
      <c r="D50" s="13"/>
      <c r="E50" s="20" t="str">
        <f t="array" ref="E50">IF(D50="","",IF(UPPER(C50)="P","PROVENTO",IF(C50="","INFORMAR TIPO",IFERROR(INDEX(REGRAS!$B$5:$B$118,MATCH(1,INDEX((REGRAS!$A$5:$A$118&lt;&gt;"")*ISNUMBER(SEARCH(REGRAS!$A$5:$A$118,B50)),0),0)),"REVISAR"))))</f>
        <v/>
      </c>
      <c r="F50" s="21"/>
      <c r="G50" s="22" t="str">
        <f t="shared" si="1"/>
        <v/>
      </c>
      <c r="H50" s="24" t="str">
        <f t="shared" si="2"/>
        <v/>
      </c>
      <c r="I50" s="24" t="str">
        <f t="shared" si="3"/>
        <v/>
      </c>
    </row>
    <row r="51" ht="15.75" customHeight="1">
      <c r="A51" s="11"/>
      <c r="B51" s="12"/>
      <c r="C51" s="11"/>
      <c r="D51" s="13"/>
      <c r="E51" s="20" t="str">
        <f t="array" ref="E51">IF(D51="","",IF(UPPER(C51)="P","PROVENTO",IF(C51="","INFORMAR TIPO",IFERROR(INDEX(REGRAS!$B$5:$B$118,MATCH(1,INDEX((REGRAS!$A$5:$A$118&lt;&gt;"")*ISNUMBER(SEARCH(REGRAS!$A$5:$A$118,B51)),0),0)),"REVISAR"))))</f>
        <v/>
      </c>
      <c r="F51" s="21"/>
      <c r="G51" s="22" t="str">
        <f t="shared" si="1"/>
        <v/>
      </c>
      <c r="H51" s="24" t="str">
        <f t="shared" si="2"/>
        <v/>
      </c>
      <c r="I51" s="24" t="str">
        <f t="shared" si="3"/>
        <v/>
      </c>
    </row>
    <row r="52" ht="15.75" customHeight="1">
      <c r="A52" s="11"/>
      <c r="B52" s="12"/>
      <c r="C52" s="11"/>
      <c r="D52" s="13"/>
      <c r="E52" s="20" t="str">
        <f t="array" ref="E52">IF(D52="","",IF(UPPER(C52)="P","PROVENTO",IF(C52="","INFORMAR TIPO",IFERROR(INDEX(REGRAS!$B$5:$B$118,MATCH(1,INDEX((REGRAS!$A$5:$A$118&lt;&gt;"")*ISNUMBER(SEARCH(REGRAS!$A$5:$A$118,B52)),0),0)),"REVISAR"))))</f>
        <v/>
      </c>
      <c r="F52" s="21"/>
      <c r="G52" s="22" t="str">
        <f t="shared" si="1"/>
        <v/>
      </c>
      <c r="H52" s="24" t="str">
        <f t="shared" si="2"/>
        <v/>
      </c>
      <c r="I52" s="24" t="str">
        <f t="shared" si="3"/>
        <v/>
      </c>
    </row>
    <row r="53" ht="15.75" customHeight="1">
      <c r="A53" s="11"/>
      <c r="B53" s="12"/>
      <c r="C53" s="11"/>
      <c r="D53" s="13"/>
      <c r="E53" s="20" t="str">
        <f t="array" ref="E53">IF(D53="","",IF(UPPER(C53)="P","PROVENTO",IF(C53="","INFORMAR TIPO",IFERROR(INDEX(REGRAS!$B$5:$B$118,MATCH(1,INDEX((REGRAS!$A$5:$A$118&lt;&gt;"")*ISNUMBER(SEARCH(REGRAS!$A$5:$A$118,B53)),0),0)),"REVISAR"))))</f>
        <v/>
      </c>
      <c r="F53" s="21"/>
      <c r="G53" s="22" t="str">
        <f t="shared" si="1"/>
        <v/>
      </c>
      <c r="H53" s="24" t="str">
        <f t="shared" si="2"/>
        <v/>
      </c>
      <c r="I53" s="24" t="str">
        <f t="shared" si="3"/>
        <v/>
      </c>
    </row>
    <row r="54" ht="15.75" customHeight="1">
      <c r="A54" s="11"/>
      <c r="B54" s="12"/>
      <c r="C54" s="11"/>
      <c r="D54" s="13"/>
      <c r="E54" s="20" t="str">
        <f t="array" ref="E54">IF(D54="","",IF(UPPER(C54)="P","PROVENTO",IF(C54="","INFORMAR TIPO",IFERROR(INDEX(REGRAS!$B$5:$B$118,MATCH(1,INDEX((REGRAS!$A$5:$A$118&lt;&gt;"")*ISNUMBER(SEARCH(REGRAS!$A$5:$A$118,B54)),0),0)),"REVISAR"))))</f>
        <v/>
      </c>
      <c r="F54" s="21"/>
      <c r="G54" s="22" t="str">
        <f t="shared" si="1"/>
        <v/>
      </c>
      <c r="H54" s="24" t="str">
        <f t="shared" si="2"/>
        <v/>
      </c>
      <c r="I54" s="24" t="str">
        <f t="shared" si="3"/>
        <v/>
      </c>
    </row>
    <row r="55" ht="15.75" customHeight="1">
      <c r="A55" s="11"/>
      <c r="B55" s="12"/>
      <c r="C55" s="11"/>
      <c r="D55" s="13"/>
      <c r="E55" s="20" t="str">
        <f t="array" ref="E55">IF(D55="","",IF(UPPER(C55)="P","PROVENTO",IF(C55="","INFORMAR TIPO",IFERROR(INDEX(REGRAS!$B$5:$B$118,MATCH(1,INDEX((REGRAS!$A$5:$A$118&lt;&gt;"")*ISNUMBER(SEARCH(REGRAS!$A$5:$A$118,B55)),0),0)),"REVISAR"))))</f>
        <v/>
      </c>
      <c r="F55" s="21"/>
      <c r="G55" s="22" t="str">
        <f t="shared" si="1"/>
        <v/>
      </c>
      <c r="H55" s="24" t="str">
        <f t="shared" si="2"/>
        <v/>
      </c>
      <c r="I55" s="24" t="str">
        <f t="shared" si="3"/>
        <v/>
      </c>
    </row>
    <row r="56" ht="15.75" customHeight="1">
      <c r="A56" s="11"/>
      <c r="B56" s="12"/>
      <c r="C56" s="11"/>
      <c r="D56" s="13"/>
      <c r="E56" s="20" t="str">
        <f t="array" ref="E56">IF(D56="","",IF(UPPER(C56)="P","PROVENTO",IF(C56="","INFORMAR TIPO",IFERROR(INDEX(REGRAS!$B$5:$B$118,MATCH(1,INDEX((REGRAS!$A$5:$A$118&lt;&gt;"")*ISNUMBER(SEARCH(REGRAS!$A$5:$A$118,B56)),0),0)),"REVISAR"))))</f>
        <v/>
      </c>
      <c r="F56" s="21"/>
      <c r="G56" s="22" t="str">
        <f t="shared" si="1"/>
        <v/>
      </c>
      <c r="H56" s="24" t="str">
        <f t="shared" si="2"/>
        <v/>
      </c>
      <c r="I56" s="24" t="str">
        <f t="shared" si="3"/>
        <v/>
      </c>
    </row>
    <row r="57" ht="15.75" customHeight="1">
      <c r="A57" s="11"/>
      <c r="B57" s="12"/>
      <c r="C57" s="11"/>
      <c r="D57" s="13"/>
      <c r="E57" s="20" t="str">
        <f t="array" ref="E57">IF(D57="","",IF(UPPER(C57)="P","PROVENTO",IF(C57="","INFORMAR TIPO",IFERROR(INDEX(REGRAS!$B$5:$B$118,MATCH(1,INDEX((REGRAS!$A$5:$A$118&lt;&gt;"")*ISNUMBER(SEARCH(REGRAS!$A$5:$A$118,B57)),0),0)),"REVISAR"))))</f>
        <v/>
      </c>
      <c r="F57" s="21"/>
      <c r="G57" s="22" t="str">
        <f t="shared" si="1"/>
        <v/>
      </c>
      <c r="H57" s="24" t="str">
        <f t="shared" si="2"/>
        <v/>
      </c>
      <c r="I57" s="24" t="str">
        <f t="shared" si="3"/>
        <v/>
      </c>
    </row>
    <row r="58" ht="15.75" customHeight="1">
      <c r="A58" s="11"/>
      <c r="B58" s="12"/>
      <c r="C58" s="11"/>
      <c r="D58" s="13"/>
      <c r="E58" s="20" t="str">
        <f t="array" ref="E58">IF(D58="","",IF(UPPER(C58)="P","PROVENTO",IF(C58="","INFORMAR TIPO",IFERROR(INDEX(REGRAS!$B$5:$B$118,MATCH(1,INDEX((REGRAS!$A$5:$A$118&lt;&gt;"")*ISNUMBER(SEARCH(REGRAS!$A$5:$A$118,B58)),0),0)),"REVISAR"))))</f>
        <v/>
      </c>
      <c r="F58" s="21"/>
      <c r="G58" s="22" t="str">
        <f t="shared" si="1"/>
        <v/>
      </c>
      <c r="H58" s="24" t="str">
        <f t="shared" si="2"/>
        <v/>
      </c>
      <c r="I58" s="24" t="str">
        <f t="shared" si="3"/>
        <v/>
      </c>
    </row>
    <row r="59" ht="15.75" customHeight="1">
      <c r="A59" s="11"/>
      <c r="B59" s="12"/>
      <c r="C59" s="11"/>
      <c r="D59" s="13"/>
      <c r="E59" s="20" t="str">
        <f t="array" ref="E59">IF(D59="","",IF(UPPER(C59)="P","PROVENTO",IF(C59="","INFORMAR TIPO",IFERROR(INDEX(REGRAS!$B$5:$B$118,MATCH(1,INDEX((REGRAS!$A$5:$A$118&lt;&gt;"")*ISNUMBER(SEARCH(REGRAS!$A$5:$A$118,B59)),0),0)),"REVISAR"))))</f>
        <v/>
      </c>
      <c r="F59" s="21"/>
      <c r="G59" s="22" t="str">
        <f t="shared" si="1"/>
        <v/>
      </c>
      <c r="H59" s="24" t="str">
        <f t="shared" si="2"/>
        <v/>
      </c>
      <c r="I59" s="24" t="str">
        <f t="shared" si="3"/>
        <v/>
      </c>
    </row>
    <row r="60" ht="15.75" customHeight="1">
      <c r="A60" s="11"/>
      <c r="B60" s="12"/>
      <c r="C60" s="11"/>
      <c r="D60" s="13"/>
      <c r="E60" s="20" t="str">
        <f t="array" ref="E60">IF(D60="","",IF(UPPER(C60)="P","PROVENTO",IF(C60="","INFORMAR TIPO",IFERROR(INDEX(REGRAS!$B$5:$B$118,MATCH(1,INDEX((REGRAS!$A$5:$A$118&lt;&gt;"")*ISNUMBER(SEARCH(REGRAS!$A$5:$A$118,B60)),0),0)),"REVISAR"))))</f>
        <v/>
      </c>
      <c r="F60" s="21"/>
      <c r="G60" s="22" t="str">
        <f t="shared" si="1"/>
        <v/>
      </c>
      <c r="H60" s="24" t="str">
        <f t="shared" si="2"/>
        <v/>
      </c>
      <c r="I60" s="24" t="str">
        <f t="shared" si="3"/>
        <v/>
      </c>
    </row>
    <row r="61" ht="15.75" customHeight="1">
      <c r="A61" s="11"/>
      <c r="B61" s="12"/>
      <c r="C61" s="11"/>
      <c r="D61" s="13"/>
      <c r="E61" s="20" t="str">
        <f t="array" ref="E61">IF(D61="","",IF(UPPER(C61)="P","PROVENTO",IF(C61="","INFORMAR TIPO",IFERROR(INDEX(REGRAS!$B$5:$B$118,MATCH(1,INDEX((REGRAS!$A$5:$A$118&lt;&gt;"")*ISNUMBER(SEARCH(REGRAS!$A$5:$A$118,B61)),0),0)),"REVISAR"))))</f>
        <v/>
      </c>
      <c r="F61" s="21"/>
      <c r="G61" s="22" t="str">
        <f t="shared" si="1"/>
        <v/>
      </c>
      <c r="H61" s="24" t="str">
        <f t="shared" si="2"/>
        <v/>
      </c>
      <c r="I61" s="24" t="str">
        <f t="shared" si="3"/>
        <v/>
      </c>
    </row>
    <row r="62" ht="15.75" customHeight="1">
      <c r="A62" s="11"/>
      <c r="B62" s="12"/>
      <c r="C62" s="11"/>
      <c r="D62" s="13"/>
      <c r="E62" s="20" t="str">
        <f t="array" ref="E62">IF(D62="","",IF(UPPER(C62)="P","PROVENTO",IF(C62="","INFORMAR TIPO",IFERROR(INDEX(REGRAS!$B$5:$B$118,MATCH(1,INDEX((REGRAS!$A$5:$A$118&lt;&gt;"")*ISNUMBER(SEARCH(REGRAS!$A$5:$A$118,B62)),0),0)),"REVISAR"))))</f>
        <v/>
      </c>
      <c r="F62" s="21"/>
      <c r="G62" s="22" t="str">
        <f t="shared" si="1"/>
        <v/>
      </c>
      <c r="H62" s="24" t="str">
        <f t="shared" si="2"/>
        <v/>
      </c>
      <c r="I62" s="24" t="str">
        <f t="shared" si="3"/>
        <v/>
      </c>
    </row>
    <row r="63" ht="15.75" customHeight="1">
      <c r="A63" s="11"/>
      <c r="B63" s="12"/>
      <c r="C63" s="11"/>
      <c r="D63" s="13"/>
      <c r="E63" s="20" t="str">
        <f t="array" ref="E63">IF(D63="","",IF(UPPER(C63)="P","PROVENTO",IF(C63="","INFORMAR TIPO",IFERROR(INDEX(REGRAS!$B$5:$B$118,MATCH(1,INDEX((REGRAS!$A$5:$A$118&lt;&gt;"")*ISNUMBER(SEARCH(REGRAS!$A$5:$A$118,B63)),0),0)),"REVISAR"))))</f>
        <v/>
      </c>
      <c r="F63" s="21"/>
      <c r="G63" s="22" t="str">
        <f t="shared" si="1"/>
        <v/>
      </c>
      <c r="H63" s="24" t="str">
        <f t="shared" si="2"/>
        <v/>
      </c>
      <c r="I63" s="24" t="str">
        <f t="shared" si="3"/>
        <v/>
      </c>
    </row>
    <row r="64" ht="15.75" customHeight="1">
      <c r="A64" s="11"/>
      <c r="B64" s="12"/>
      <c r="C64" s="11"/>
      <c r="D64" s="13"/>
      <c r="E64" s="20" t="str">
        <f t="array" ref="E64">IF(D64="","",IF(UPPER(C64)="P","PROVENTO",IF(C64="","INFORMAR TIPO",IFERROR(INDEX(REGRAS!$B$5:$B$118,MATCH(1,INDEX((REGRAS!$A$5:$A$118&lt;&gt;"")*ISNUMBER(SEARCH(REGRAS!$A$5:$A$118,B64)),0),0)),"REVISAR"))))</f>
        <v/>
      </c>
      <c r="F64" s="21"/>
      <c r="G64" s="22" t="str">
        <f t="shared" si="1"/>
        <v/>
      </c>
      <c r="H64" s="24" t="str">
        <f t="shared" si="2"/>
        <v/>
      </c>
      <c r="I64" s="24" t="str">
        <f t="shared" si="3"/>
        <v/>
      </c>
    </row>
    <row r="65" ht="15.75" customHeight="1">
      <c r="A65" s="11"/>
      <c r="B65" s="12"/>
      <c r="C65" s="11"/>
      <c r="D65" s="13"/>
      <c r="E65" s="20" t="str">
        <f t="array" ref="E65">IF(D65="","",IF(UPPER(C65)="P","PROVENTO",IF(C65="","INFORMAR TIPO",IFERROR(INDEX(REGRAS!$B$5:$B$118,MATCH(1,INDEX((REGRAS!$A$5:$A$118&lt;&gt;"")*ISNUMBER(SEARCH(REGRAS!$A$5:$A$118,B65)),0),0)),"REVISAR"))))</f>
        <v/>
      </c>
      <c r="F65" s="21"/>
      <c r="G65" s="22" t="str">
        <f t="shared" si="1"/>
        <v/>
      </c>
      <c r="H65" s="24" t="str">
        <f t="shared" si="2"/>
        <v/>
      </c>
      <c r="I65" s="24" t="str">
        <f t="shared" si="3"/>
        <v/>
      </c>
    </row>
    <row r="66" ht="15.75" customHeight="1">
      <c r="A66" s="11"/>
      <c r="B66" s="12"/>
      <c r="C66" s="11"/>
      <c r="D66" s="13"/>
      <c r="E66" s="20" t="str">
        <f t="array" ref="E66">IF(D66="","",IF(UPPER(C66)="P","PROVENTO",IF(C66="","INFORMAR TIPO",IFERROR(INDEX(REGRAS!$B$5:$B$118,MATCH(1,INDEX((REGRAS!$A$5:$A$118&lt;&gt;"")*ISNUMBER(SEARCH(REGRAS!$A$5:$A$118,B66)),0),0)),"REVISAR"))))</f>
        <v/>
      </c>
      <c r="F66" s="21"/>
      <c r="G66" s="22" t="str">
        <f t="shared" si="1"/>
        <v/>
      </c>
      <c r="H66" s="24" t="str">
        <f t="shared" si="2"/>
        <v/>
      </c>
      <c r="I66" s="24" t="str">
        <f t="shared" si="3"/>
        <v/>
      </c>
    </row>
    <row r="67" ht="15.75" customHeight="1">
      <c r="A67" s="11"/>
      <c r="B67" s="12"/>
      <c r="C67" s="11"/>
      <c r="D67" s="13"/>
      <c r="E67" s="20" t="str">
        <f t="array" ref="E67">IF(D67="","",IF(UPPER(C67)="P","PROVENTO",IF(C67="","INFORMAR TIPO",IFERROR(INDEX(REGRAS!$B$5:$B$118,MATCH(1,INDEX((REGRAS!$A$5:$A$118&lt;&gt;"")*ISNUMBER(SEARCH(REGRAS!$A$5:$A$118,B67)),0),0)),"REVISAR"))))</f>
        <v/>
      </c>
      <c r="F67" s="21"/>
      <c r="G67" s="22" t="str">
        <f t="shared" si="1"/>
        <v/>
      </c>
      <c r="H67" s="24" t="str">
        <f t="shared" si="2"/>
        <v/>
      </c>
      <c r="I67" s="24" t="str">
        <f t="shared" si="3"/>
        <v/>
      </c>
    </row>
    <row r="68" ht="15.75" customHeight="1">
      <c r="A68" s="11"/>
      <c r="B68" s="12"/>
      <c r="C68" s="11"/>
      <c r="D68" s="13"/>
      <c r="E68" s="20" t="str">
        <f t="array" ref="E68">IF(D68="","",IF(UPPER(C68)="P","PROVENTO",IF(C68="","INFORMAR TIPO",IFERROR(INDEX(REGRAS!$B$5:$B$118,MATCH(1,INDEX((REGRAS!$A$5:$A$118&lt;&gt;"")*ISNUMBER(SEARCH(REGRAS!$A$5:$A$118,B68)),0),0)),"REVISAR"))))</f>
        <v/>
      </c>
      <c r="F68" s="21"/>
      <c r="G68" s="22" t="str">
        <f t="shared" si="1"/>
        <v/>
      </c>
      <c r="H68" s="24" t="str">
        <f t="shared" si="2"/>
        <v/>
      </c>
      <c r="I68" s="24" t="str">
        <f t="shared" si="3"/>
        <v/>
      </c>
    </row>
    <row r="69" ht="15.75" customHeight="1">
      <c r="A69" s="11"/>
      <c r="B69" s="12"/>
      <c r="C69" s="11"/>
      <c r="D69" s="13"/>
      <c r="E69" s="20" t="str">
        <f t="array" ref="E69">IF(D69="","",IF(UPPER(C69)="P","PROVENTO",IF(C69="","INFORMAR TIPO",IFERROR(INDEX(REGRAS!$B$5:$B$118,MATCH(1,INDEX((REGRAS!$A$5:$A$118&lt;&gt;"")*ISNUMBER(SEARCH(REGRAS!$A$5:$A$118,B69)),0),0)),"REVISAR"))))</f>
        <v/>
      </c>
      <c r="F69" s="21"/>
      <c r="G69" s="22" t="str">
        <f t="shared" si="1"/>
        <v/>
      </c>
      <c r="H69" s="24" t="str">
        <f t="shared" si="2"/>
        <v/>
      </c>
      <c r="I69" s="24" t="str">
        <f t="shared" si="3"/>
        <v/>
      </c>
    </row>
    <row r="70" ht="15.75" customHeight="1">
      <c r="A70" s="11"/>
      <c r="B70" s="12"/>
      <c r="C70" s="11"/>
      <c r="D70" s="13"/>
      <c r="E70" s="20" t="str">
        <f t="array" ref="E70">IF(D70="","",IF(UPPER(C70)="P","PROVENTO",IF(C70="","INFORMAR TIPO",IFERROR(INDEX(REGRAS!$B$5:$B$118,MATCH(1,INDEX((REGRAS!$A$5:$A$118&lt;&gt;"")*ISNUMBER(SEARCH(REGRAS!$A$5:$A$118,B70)),0),0)),"REVISAR"))))</f>
        <v/>
      </c>
      <c r="F70" s="21"/>
      <c r="G70" s="22" t="str">
        <f t="shared" si="1"/>
        <v/>
      </c>
      <c r="H70" s="24" t="str">
        <f t="shared" si="2"/>
        <v/>
      </c>
      <c r="I70" s="24" t="str">
        <f t="shared" si="3"/>
        <v/>
      </c>
    </row>
    <row r="71" ht="15.75" customHeight="1">
      <c r="A71" s="11"/>
      <c r="B71" s="12"/>
      <c r="C71" s="11"/>
      <c r="D71" s="13"/>
      <c r="E71" s="20" t="str">
        <f t="array" ref="E71">IF(D71="","",IF(UPPER(C71)="P","PROVENTO",IF(C71="","INFORMAR TIPO",IFERROR(INDEX(REGRAS!$B$5:$B$118,MATCH(1,INDEX((REGRAS!$A$5:$A$118&lt;&gt;"")*ISNUMBER(SEARCH(REGRAS!$A$5:$A$118,B71)),0),0)),"REVISAR"))))</f>
        <v/>
      </c>
      <c r="F71" s="21"/>
      <c r="G71" s="22" t="str">
        <f t="shared" si="1"/>
        <v/>
      </c>
      <c r="H71" s="24" t="str">
        <f t="shared" si="2"/>
        <v/>
      </c>
      <c r="I71" s="24" t="str">
        <f t="shared" si="3"/>
        <v/>
      </c>
    </row>
    <row r="72" ht="15.75" customHeight="1">
      <c r="A72" s="11"/>
      <c r="B72" s="12"/>
      <c r="C72" s="11"/>
      <c r="D72" s="13"/>
      <c r="E72" s="20" t="str">
        <f t="array" ref="E72">IF(D72="","",IF(UPPER(C72)="P","PROVENTO",IF(C72="","INFORMAR TIPO",IFERROR(INDEX(REGRAS!$B$5:$B$118,MATCH(1,INDEX((REGRAS!$A$5:$A$118&lt;&gt;"")*ISNUMBER(SEARCH(REGRAS!$A$5:$A$118,B72)),0),0)),"REVISAR"))))</f>
        <v/>
      </c>
      <c r="F72" s="21"/>
      <c r="G72" s="22" t="str">
        <f t="shared" si="1"/>
        <v/>
      </c>
      <c r="H72" s="24" t="str">
        <f t="shared" si="2"/>
        <v/>
      </c>
      <c r="I72" s="24" t="str">
        <f t="shared" si="3"/>
        <v/>
      </c>
    </row>
    <row r="73" ht="15.75" customHeight="1">
      <c r="A73" s="11"/>
      <c r="B73" s="12"/>
      <c r="C73" s="11"/>
      <c r="D73" s="13"/>
      <c r="E73" s="20" t="str">
        <f t="array" ref="E73">IF(D73="","",IF(UPPER(C73)="P","PROVENTO",IF(C73="","INFORMAR TIPO",IFERROR(INDEX(REGRAS!$B$5:$B$118,MATCH(1,INDEX((REGRAS!$A$5:$A$118&lt;&gt;"")*ISNUMBER(SEARCH(REGRAS!$A$5:$A$118,B73)),0),0)),"REVISAR"))))</f>
        <v/>
      </c>
      <c r="F73" s="21"/>
      <c r="G73" s="22" t="str">
        <f t="shared" si="1"/>
        <v/>
      </c>
      <c r="H73" s="24" t="str">
        <f t="shared" si="2"/>
        <v/>
      </c>
      <c r="I73" s="24" t="str">
        <f t="shared" si="3"/>
        <v/>
      </c>
    </row>
    <row r="74" ht="15.75" customHeight="1">
      <c r="A74" s="11"/>
      <c r="B74" s="12"/>
      <c r="C74" s="11"/>
      <c r="D74" s="13"/>
      <c r="E74" s="20" t="str">
        <f t="array" ref="E74">IF(D74="","",IF(UPPER(C74)="P","PROVENTO",IF(C74="","INFORMAR TIPO",IFERROR(INDEX(REGRAS!$B$5:$B$118,MATCH(1,INDEX((REGRAS!$A$5:$A$118&lt;&gt;"")*ISNUMBER(SEARCH(REGRAS!$A$5:$A$118,B74)),0),0)),"REVISAR"))))</f>
        <v/>
      </c>
      <c r="F74" s="21"/>
      <c r="G74" s="22" t="str">
        <f t="shared" si="1"/>
        <v/>
      </c>
      <c r="H74" s="24" t="str">
        <f t="shared" si="2"/>
        <v/>
      </c>
      <c r="I74" s="24" t="str">
        <f t="shared" si="3"/>
        <v/>
      </c>
    </row>
    <row r="75" ht="15.75" customHeight="1">
      <c r="A75" s="11"/>
      <c r="B75" s="12"/>
      <c r="C75" s="11"/>
      <c r="D75" s="13"/>
      <c r="E75" s="20" t="str">
        <f t="array" ref="E75">IF(D75="","",IF(UPPER(C75)="P","PROVENTO",IF(C75="","INFORMAR TIPO",IFERROR(INDEX(REGRAS!$B$5:$B$118,MATCH(1,INDEX((REGRAS!$A$5:$A$118&lt;&gt;"")*ISNUMBER(SEARCH(REGRAS!$A$5:$A$118,B75)),0),0)),"REVISAR"))))</f>
        <v/>
      </c>
      <c r="F75" s="21"/>
      <c r="G75" s="22" t="str">
        <f t="shared" si="1"/>
        <v/>
      </c>
      <c r="H75" s="24" t="str">
        <f t="shared" si="2"/>
        <v/>
      </c>
      <c r="I75" s="24" t="str">
        <f t="shared" si="3"/>
        <v/>
      </c>
    </row>
    <row r="76" ht="15.75" customHeight="1">
      <c r="A76" s="11"/>
      <c r="B76" s="12"/>
      <c r="C76" s="11"/>
      <c r="D76" s="13"/>
      <c r="E76" s="20" t="str">
        <f t="array" ref="E76">IF(D76="","",IF(UPPER(C76)="P","PROVENTO",IF(C76="","INFORMAR TIPO",IFERROR(INDEX(REGRAS!$B$5:$B$118,MATCH(1,INDEX((REGRAS!$A$5:$A$118&lt;&gt;"")*ISNUMBER(SEARCH(REGRAS!$A$5:$A$118,B76)),0),0)),"REVISAR"))))</f>
        <v/>
      </c>
      <c r="F76" s="21"/>
      <c r="G76" s="22" t="str">
        <f t="shared" si="1"/>
        <v/>
      </c>
      <c r="H76" s="24" t="str">
        <f t="shared" si="2"/>
        <v/>
      </c>
      <c r="I76" s="24" t="str">
        <f t="shared" si="3"/>
        <v/>
      </c>
    </row>
    <row r="77" ht="15.75" customHeight="1">
      <c r="A77" s="11"/>
      <c r="B77" s="12"/>
      <c r="C77" s="11"/>
      <c r="D77" s="13"/>
      <c r="E77" s="20" t="str">
        <f t="array" ref="E77">IF(D77="","",IF(UPPER(C77)="P","PROVENTO",IF(C77="","INFORMAR TIPO",IFERROR(INDEX(REGRAS!$B$5:$B$118,MATCH(1,INDEX((REGRAS!$A$5:$A$118&lt;&gt;"")*ISNUMBER(SEARCH(REGRAS!$A$5:$A$118,B77)),0),0)),"REVISAR"))))</f>
        <v/>
      </c>
      <c r="F77" s="21"/>
      <c r="G77" s="22" t="str">
        <f t="shared" si="1"/>
        <v/>
      </c>
      <c r="H77" s="24" t="str">
        <f t="shared" si="2"/>
        <v/>
      </c>
      <c r="I77" s="24" t="str">
        <f t="shared" si="3"/>
        <v/>
      </c>
    </row>
    <row r="78" ht="15.75" customHeight="1">
      <c r="A78" s="11"/>
      <c r="B78" s="12"/>
      <c r="C78" s="11"/>
      <c r="D78" s="13"/>
      <c r="E78" s="20" t="str">
        <f t="array" ref="E78">IF(D78="","",IF(UPPER(C78)="P","PROVENTO",IF(C78="","INFORMAR TIPO",IFERROR(INDEX(REGRAS!$B$5:$B$118,MATCH(1,INDEX((REGRAS!$A$5:$A$118&lt;&gt;"")*ISNUMBER(SEARCH(REGRAS!$A$5:$A$118,B78)),0),0)),"REVISAR"))))</f>
        <v/>
      </c>
      <c r="F78" s="21"/>
      <c r="G78" s="22" t="str">
        <f t="shared" si="1"/>
        <v/>
      </c>
      <c r="H78" s="24" t="str">
        <f t="shared" si="2"/>
        <v/>
      </c>
      <c r="I78" s="24" t="str">
        <f t="shared" si="3"/>
        <v/>
      </c>
    </row>
    <row r="79" ht="15.75" customHeight="1">
      <c r="A79" s="11"/>
      <c r="B79" s="12"/>
      <c r="C79" s="11"/>
      <c r="D79" s="13"/>
      <c r="E79" s="20" t="str">
        <f t="array" ref="E79">IF(D79="","",IF(UPPER(C79)="P","PROVENTO",IF(C79="","INFORMAR TIPO",IFERROR(INDEX(REGRAS!$B$5:$B$118,MATCH(1,INDEX((REGRAS!$A$5:$A$118&lt;&gt;"")*ISNUMBER(SEARCH(REGRAS!$A$5:$A$118,B79)),0),0)),"REVISAR"))))</f>
        <v/>
      </c>
      <c r="F79" s="21"/>
      <c r="G79" s="22" t="str">
        <f t="shared" si="1"/>
        <v/>
      </c>
      <c r="H79" s="24" t="str">
        <f t="shared" si="2"/>
        <v/>
      </c>
      <c r="I79" s="24" t="str">
        <f t="shared" si="3"/>
        <v/>
      </c>
    </row>
    <row r="80" ht="15.75" customHeight="1">
      <c r="A80" s="11"/>
      <c r="B80" s="12"/>
      <c r="C80" s="11"/>
      <c r="D80" s="13"/>
      <c r="E80" s="20" t="str">
        <f t="array" ref="E80">IF(D80="","",IF(UPPER(C80)="P","PROVENTO",IF(C80="","INFORMAR TIPO",IFERROR(INDEX(REGRAS!$B$5:$B$118,MATCH(1,INDEX((REGRAS!$A$5:$A$118&lt;&gt;"")*ISNUMBER(SEARCH(REGRAS!$A$5:$A$118,B80)),0),0)),"REVISAR"))))</f>
        <v/>
      </c>
      <c r="F80" s="21"/>
      <c r="G80" s="22" t="str">
        <f t="shared" si="1"/>
        <v/>
      </c>
      <c r="H80" s="24" t="str">
        <f t="shared" si="2"/>
        <v/>
      </c>
      <c r="I80" s="24" t="str">
        <f t="shared" si="3"/>
        <v/>
      </c>
    </row>
    <row r="81" ht="15.75" customHeight="1">
      <c r="A81" s="11"/>
      <c r="B81" s="12"/>
      <c r="C81" s="11"/>
      <c r="D81" s="13"/>
      <c r="E81" s="20" t="str">
        <f t="array" ref="E81">IF(D81="","",IF(UPPER(C81)="P","PROVENTO",IF(C81="","INFORMAR TIPO",IFERROR(INDEX(REGRAS!$B$5:$B$118,MATCH(1,INDEX((REGRAS!$A$5:$A$118&lt;&gt;"")*ISNUMBER(SEARCH(REGRAS!$A$5:$A$118,B81)),0),0)),"REVISAR"))))</f>
        <v/>
      </c>
      <c r="F81" s="21"/>
      <c r="G81" s="22" t="str">
        <f t="shared" si="1"/>
        <v/>
      </c>
      <c r="H81" s="24" t="str">
        <f t="shared" si="2"/>
        <v/>
      </c>
      <c r="I81" s="24" t="str">
        <f t="shared" si="3"/>
        <v/>
      </c>
    </row>
    <row r="82" ht="15.75" customHeight="1">
      <c r="A82" s="11"/>
      <c r="B82" s="12"/>
      <c r="C82" s="11"/>
      <c r="D82" s="13"/>
      <c r="E82" s="20" t="str">
        <f t="array" ref="E82">IF(D82="","",IF(UPPER(C82)="P","PROVENTO",IF(C82="","INFORMAR TIPO",IFERROR(INDEX(REGRAS!$B$5:$B$118,MATCH(1,INDEX((REGRAS!$A$5:$A$118&lt;&gt;"")*ISNUMBER(SEARCH(REGRAS!$A$5:$A$118,B82)),0),0)),"REVISAR"))))</f>
        <v/>
      </c>
      <c r="F82" s="21"/>
      <c r="G82" s="22" t="str">
        <f t="shared" si="1"/>
        <v/>
      </c>
      <c r="H82" s="24" t="str">
        <f t="shared" si="2"/>
        <v/>
      </c>
      <c r="I82" s="24" t="str">
        <f t="shared" si="3"/>
        <v/>
      </c>
    </row>
    <row r="83" ht="15.75" customHeight="1">
      <c r="A83" s="11"/>
      <c r="B83" s="12"/>
      <c r="C83" s="11"/>
      <c r="D83" s="13"/>
      <c r="E83" s="20" t="str">
        <f t="array" ref="E83">IF(D83="","",IF(UPPER(C83)="P","PROVENTO",IF(C83="","INFORMAR TIPO",IFERROR(INDEX(REGRAS!$B$5:$B$118,MATCH(1,INDEX((REGRAS!$A$5:$A$118&lt;&gt;"")*ISNUMBER(SEARCH(REGRAS!$A$5:$A$118,B83)),0),0)),"REVISAR"))))</f>
        <v/>
      </c>
      <c r="F83" s="21"/>
      <c r="G83" s="22" t="str">
        <f t="shared" si="1"/>
        <v/>
      </c>
      <c r="H83" s="24" t="str">
        <f t="shared" si="2"/>
        <v/>
      </c>
      <c r="I83" s="24" t="str">
        <f t="shared" si="3"/>
        <v/>
      </c>
    </row>
    <row r="84" ht="15.75" customHeight="1">
      <c r="A84" s="11"/>
      <c r="B84" s="12"/>
      <c r="C84" s="11"/>
      <c r="D84" s="13"/>
      <c r="E84" s="20" t="str">
        <f t="array" ref="E84">IF(D84="","",IF(UPPER(C84)="P","PROVENTO",IF(C84="","INFORMAR TIPO",IFERROR(INDEX(REGRAS!$B$5:$B$118,MATCH(1,INDEX((REGRAS!$A$5:$A$118&lt;&gt;"")*ISNUMBER(SEARCH(REGRAS!$A$5:$A$118,B84)),0),0)),"REVISAR"))))</f>
        <v/>
      </c>
      <c r="F84" s="21"/>
      <c r="G84" s="22" t="str">
        <f t="shared" si="1"/>
        <v/>
      </c>
      <c r="H84" s="24" t="str">
        <f t="shared" si="2"/>
        <v/>
      </c>
      <c r="I84" s="24" t="str">
        <f t="shared" si="3"/>
        <v/>
      </c>
    </row>
    <row r="85" ht="15.75" customHeight="1">
      <c r="A85" s="11"/>
      <c r="B85" s="12"/>
      <c r="C85" s="11"/>
      <c r="D85" s="13"/>
      <c r="E85" s="20" t="str">
        <f t="array" ref="E85">IF(D85="","",IF(UPPER(C85)="P","PROVENTO",IF(C85="","INFORMAR TIPO",IFERROR(INDEX(REGRAS!$B$5:$B$118,MATCH(1,INDEX((REGRAS!$A$5:$A$118&lt;&gt;"")*ISNUMBER(SEARCH(REGRAS!$A$5:$A$118,B85)),0),0)),"REVISAR"))))</f>
        <v/>
      </c>
      <c r="F85" s="21"/>
      <c r="G85" s="22" t="str">
        <f t="shared" si="1"/>
        <v/>
      </c>
      <c r="H85" s="24" t="str">
        <f t="shared" si="2"/>
        <v/>
      </c>
      <c r="I85" s="24" t="str">
        <f t="shared" si="3"/>
        <v/>
      </c>
    </row>
    <row r="86" ht="15.75" customHeight="1">
      <c r="A86" s="11"/>
      <c r="B86" s="12"/>
      <c r="C86" s="11"/>
      <c r="D86" s="13"/>
      <c r="E86" s="20" t="str">
        <f t="array" ref="E86">IF(D86="","",IF(UPPER(C86)="P","PROVENTO",IF(C86="","INFORMAR TIPO",IFERROR(INDEX(REGRAS!$B$5:$B$118,MATCH(1,INDEX((REGRAS!$A$5:$A$118&lt;&gt;"")*ISNUMBER(SEARCH(REGRAS!$A$5:$A$118,B86)),0),0)),"REVISAR"))))</f>
        <v/>
      </c>
      <c r="F86" s="21"/>
      <c r="G86" s="22" t="str">
        <f t="shared" si="1"/>
        <v/>
      </c>
      <c r="H86" s="24" t="str">
        <f t="shared" si="2"/>
        <v/>
      </c>
      <c r="I86" s="24" t="str">
        <f t="shared" si="3"/>
        <v/>
      </c>
    </row>
    <row r="87" ht="15.75" customHeight="1">
      <c r="A87" s="11"/>
      <c r="B87" s="12"/>
      <c r="C87" s="11"/>
      <c r="D87" s="13"/>
      <c r="E87" s="20" t="str">
        <f t="array" ref="E87">IF(D87="","",IF(UPPER(C87)="P","PROVENTO",IF(C87="","INFORMAR TIPO",IFERROR(INDEX(REGRAS!$B$5:$B$118,MATCH(1,INDEX((REGRAS!$A$5:$A$118&lt;&gt;"")*ISNUMBER(SEARCH(REGRAS!$A$5:$A$118,B87)),0),0)),"REVISAR"))))</f>
        <v/>
      </c>
      <c r="F87" s="21"/>
      <c r="G87" s="22" t="str">
        <f t="shared" si="1"/>
        <v/>
      </c>
      <c r="H87" s="24" t="str">
        <f t="shared" si="2"/>
        <v/>
      </c>
      <c r="I87" s="24" t="str">
        <f t="shared" si="3"/>
        <v/>
      </c>
    </row>
    <row r="88" ht="15.75" customHeight="1"/>
    <row r="89" ht="15.75" customHeight="1">
      <c r="B89" s="36" t="s">
        <v>179</v>
      </c>
      <c r="D89" s="41">
        <f>SUMIF($G$8:$G$87,"PROVENTO",$D$8:$D$87)</f>
        <v>0</v>
      </c>
    </row>
    <row r="90" ht="15.75" customHeight="1">
      <c r="B90" s="36" t="s">
        <v>180</v>
      </c>
      <c r="D90" s="41">
        <f>SUMIF($G$8:$G$87,"DESCONTO OBRIGATÓRIO",$D$8:$D$87)</f>
        <v>0</v>
      </c>
    </row>
    <row r="91" ht="15.75" customHeight="1">
      <c r="B91" s="36" t="s">
        <v>181</v>
      </c>
      <c r="D91" s="41">
        <f>SUMIF($G$8:$G$87,"EMPRÉSTIMO CONSIGNADO",$D$8:$D$87)+SUMIF($G$8:$G$87,"CARTÃO CONSIGNADO",$D$8:$D$87)+SUMIF($G$8:$G$87,"CARTÃO BENEFÍCIO",$D$8:$D$87)</f>
        <v>0</v>
      </c>
    </row>
    <row r="92" ht="15.75" customHeight="1">
      <c r="B92" s="50" t="s">
        <v>182</v>
      </c>
      <c r="D92" s="85">
        <f>COUNTIF($G$8:$G$87,"REVISAR")+COUNTIF($G$8:$G$87,"INFORMAR TIPO")</f>
        <v>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B3:D3"/>
    <mergeCell ref="E3:G5"/>
    <mergeCell ref="B4:D4"/>
    <mergeCell ref="B5:D5"/>
  </mergeCells>
  <conditionalFormatting sqref="G8:G87">
    <cfRule type="expression" dxfId="0" priority="1">
      <formula>OR(G8="REVISAR",G8="INFORMAR TIPO")</formula>
    </cfRule>
  </conditionalFormatting>
  <conditionalFormatting sqref="G8:G87">
    <cfRule type="expression" dxfId="1" priority="2">
      <formula>OR(G8="EMPRÉSTIMO CONSIGNADO",G8="CARTÃO CONSIGNADO",G8="CARTÃO BENEFÍCIO")</formula>
    </cfRule>
  </conditionalFormatting>
  <conditionalFormatting sqref="G8:G87">
    <cfRule type="expression" dxfId="2" priority="3">
      <formula>G8="EMPRÉSTIMO PESSOAL"</formula>
    </cfRule>
  </conditionalFormatting>
  <dataValidations>
    <dataValidation type="list" allowBlank="1" sqref="C8:C87">
      <formula1>LISTAS!$C$2:$C$3</formula1>
    </dataValidation>
    <dataValidation type="list" allowBlank="1" sqref="F8:F87">
      <formula1>LISTAS!$A$2:$A$8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8.0"/>
    <col customWidth="1" min="3" max="3" width="50.0"/>
    <col customWidth="1" min="4" max="6" width="8.71"/>
  </cols>
  <sheetData>
    <row r="1" ht="24.0" customHeight="1">
      <c r="A1" s="1" t="s">
        <v>79</v>
      </c>
      <c r="B1" s="2"/>
      <c r="C1" s="2"/>
    </row>
    <row r="2" ht="39.75" customHeight="1">
      <c r="A2" s="77" t="s">
        <v>80</v>
      </c>
    </row>
    <row r="4">
      <c r="A4" s="19" t="s">
        <v>81</v>
      </c>
      <c r="B4" s="19" t="s">
        <v>82</v>
      </c>
      <c r="C4" s="19" t="s">
        <v>83</v>
      </c>
    </row>
    <row r="5">
      <c r="A5" s="12" t="s">
        <v>84</v>
      </c>
      <c r="B5" s="12" t="s">
        <v>38</v>
      </c>
      <c r="C5" s="78" t="s">
        <v>85</v>
      </c>
    </row>
    <row r="6">
      <c r="A6" s="12" t="s">
        <v>86</v>
      </c>
      <c r="B6" s="12" t="s">
        <v>38</v>
      </c>
      <c r="C6" s="78" t="s">
        <v>85</v>
      </c>
    </row>
    <row r="7">
      <c r="A7" s="12" t="s">
        <v>87</v>
      </c>
      <c r="B7" s="12" t="s">
        <v>38</v>
      </c>
      <c r="C7" s="78" t="s">
        <v>85</v>
      </c>
    </row>
    <row r="8">
      <c r="A8" s="12" t="s">
        <v>88</v>
      </c>
      <c r="B8" s="12" t="s">
        <v>38</v>
      </c>
      <c r="C8" s="78" t="s">
        <v>85</v>
      </c>
    </row>
    <row r="9">
      <c r="A9" s="12" t="s">
        <v>89</v>
      </c>
      <c r="B9" s="12" t="s">
        <v>38</v>
      </c>
      <c r="C9" s="78" t="s">
        <v>85</v>
      </c>
    </row>
    <row r="10">
      <c r="A10" s="12" t="s">
        <v>90</v>
      </c>
      <c r="B10" s="12" t="s">
        <v>38</v>
      </c>
      <c r="C10" s="78" t="s">
        <v>85</v>
      </c>
    </row>
    <row r="11">
      <c r="A11" s="12" t="s">
        <v>91</v>
      </c>
      <c r="B11" s="12" t="s">
        <v>38</v>
      </c>
      <c r="C11" s="78" t="s">
        <v>85</v>
      </c>
    </row>
    <row r="12">
      <c r="A12" s="12" t="s">
        <v>92</v>
      </c>
      <c r="B12" s="12" t="s">
        <v>38</v>
      </c>
      <c r="C12" s="78" t="s">
        <v>85</v>
      </c>
    </row>
    <row r="13">
      <c r="A13" s="12" t="s">
        <v>93</v>
      </c>
      <c r="B13" s="12" t="s">
        <v>36</v>
      </c>
      <c r="C13" s="78" t="s">
        <v>94</v>
      </c>
    </row>
    <row r="14">
      <c r="A14" s="12" t="s">
        <v>95</v>
      </c>
      <c r="B14" s="12" t="s">
        <v>36</v>
      </c>
      <c r="C14" s="78" t="s">
        <v>94</v>
      </c>
    </row>
    <row r="15">
      <c r="A15" s="12" t="s">
        <v>96</v>
      </c>
      <c r="B15" s="12" t="s">
        <v>36</v>
      </c>
      <c r="C15" s="78" t="s">
        <v>94</v>
      </c>
    </row>
    <row r="16">
      <c r="A16" s="12" t="s">
        <v>97</v>
      </c>
      <c r="B16" s="12" t="s">
        <v>36</v>
      </c>
      <c r="C16" s="78" t="s">
        <v>94</v>
      </c>
    </row>
    <row r="17">
      <c r="A17" s="12" t="s">
        <v>98</v>
      </c>
      <c r="B17" s="12" t="s">
        <v>36</v>
      </c>
      <c r="C17" s="78" t="s">
        <v>94</v>
      </c>
    </row>
    <row r="18">
      <c r="A18" s="12" t="s">
        <v>99</v>
      </c>
      <c r="B18" s="12" t="s">
        <v>36</v>
      </c>
      <c r="C18" s="78" t="s">
        <v>94</v>
      </c>
    </row>
    <row r="19">
      <c r="A19" s="12" t="s">
        <v>100</v>
      </c>
      <c r="B19" s="12" t="s">
        <v>35</v>
      </c>
      <c r="C19" s="78" t="s">
        <v>101</v>
      </c>
    </row>
    <row r="20">
      <c r="A20" s="12" t="s">
        <v>102</v>
      </c>
      <c r="B20" s="12" t="s">
        <v>35</v>
      </c>
      <c r="C20" s="78" t="s">
        <v>101</v>
      </c>
    </row>
    <row r="21" ht="15.75" customHeight="1">
      <c r="A21" s="12" t="s">
        <v>103</v>
      </c>
      <c r="B21" s="12" t="s">
        <v>35</v>
      </c>
      <c r="C21" s="78" t="s">
        <v>101</v>
      </c>
    </row>
    <row r="22" ht="15.75" customHeight="1">
      <c r="A22" s="12" t="s">
        <v>104</v>
      </c>
      <c r="B22" s="12" t="s">
        <v>35</v>
      </c>
      <c r="C22" s="78" t="s">
        <v>101</v>
      </c>
    </row>
    <row r="23" ht="15.75" customHeight="1">
      <c r="A23" s="12" t="s">
        <v>105</v>
      </c>
      <c r="B23" s="12" t="s">
        <v>35</v>
      </c>
      <c r="C23" s="78" t="s">
        <v>101</v>
      </c>
    </row>
    <row r="24" ht="15.75" customHeight="1">
      <c r="A24" s="12" t="s">
        <v>106</v>
      </c>
      <c r="B24" s="12" t="s">
        <v>35</v>
      </c>
      <c r="C24" s="78" t="s">
        <v>101</v>
      </c>
    </row>
    <row r="25" ht="15.75" customHeight="1">
      <c r="A25" s="12" t="s">
        <v>107</v>
      </c>
      <c r="B25" s="12" t="s">
        <v>35</v>
      </c>
      <c r="C25" s="78" t="s">
        <v>101</v>
      </c>
    </row>
    <row r="26" ht="15.75" customHeight="1">
      <c r="A26" s="12" t="s">
        <v>108</v>
      </c>
      <c r="B26" s="12" t="s">
        <v>35</v>
      </c>
      <c r="C26" s="78" t="s">
        <v>101</v>
      </c>
    </row>
    <row r="27" ht="15.75" customHeight="1">
      <c r="A27" s="12" t="s">
        <v>109</v>
      </c>
      <c r="B27" s="12" t="s">
        <v>35</v>
      </c>
      <c r="C27" s="78" t="s">
        <v>101</v>
      </c>
    </row>
    <row r="28" ht="15.75" customHeight="1">
      <c r="A28" s="12" t="s">
        <v>110</v>
      </c>
      <c r="B28" s="12" t="s">
        <v>35</v>
      </c>
      <c r="C28" s="78" t="s">
        <v>101</v>
      </c>
    </row>
    <row r="29" ht="15.75" customHeight="1">
      <c r="A29" s="12" t="s">
        <v>111</v>
      </c>
      <c r="B29" s="12" t="s">
        <v>35</v>
      </c>
      <c r="C29" s="78" t="s">
        <v>101</v>
      </c>
    </row>
    <row r="30" ht="15.75" customHeight="1">
      <c r="A30" s="12" t="s">
        <v>112</v>
      </c>
      <c r="B30" s="12" t="s">
        <v>35</v>
      </c>
      <c r="C30" s="78" t="s">
        <v>101</v>
      </c>
    </row>
    <row r="31" ht="15.75" customHeight="1">
      <c r="A31" s="12" t="s">
        <v>113</v>
      </c>
      <c r="B31" s="12" t="s">
        <v>35</v>
      </c>
      <c r="C31" s="78" t="s">
        <v>101</v>
      </c>
    </row>
    <row r="32" ht="15.75" customHeight="1">
      <c r="A32" s="12" t="s">
        <v>114</v>
      </c>
      <c r="B32" s="12" t="s">
        <v>35</v>
      </c>
      <c r="C32" s="78" t="s">
        <v>101</v>
      </c>
    </row>
    <row r="33" ht="15.75" customHeight="1">
      <c r="A33" s="12" t="s">
        <v>115</v>
      </c>
      <c r="B33" s="12" t="s">
        <v>35</v>
      </c>
      <c r="C33" s="78" t="s">
        <v>101</v>
      </c>
    </row>
    <row r="34" ht="15.75" customHeight="1">
      <c r="A34" s="12" t="s">
        <v>116</v>
      </c>
      <c r="B34" s="12" t="s">
        <v>35</v>
      </c>
      <c r="C34" s="78" t="s">
        <v>101</v>
      </c>
    </row>
    <row r="35" ht="15.75" customHeight="1">
      <c r="A35" s="12" t="s">
        <v>117</v>
      </c>
      <c r="B35" s="12" t="s">
        <v>35</v>
      </c>
      <c r="C35" s="78" t="s">
        <v>101</v>
      </c>
    </row>
    <row r="36" ht="15.75" customHeight="1">
      <c r="A36" s="12" t="s">
        <v>118</v>
      </c>
      <c r="B36" s="12" t="s">
        <v>35</v>
      </c>
      <c r="C36" s="78" t="s">
        <v>101</v>
      </c>
    </row>
    <row r="37" ht="15.75" customHeight="1">
      <c r="A37" s="12" t="s">
        <v>119</v>
      </c>
      <c r="B37" s="12" t="s">
        <v>35</v>
      </c>
      <c r="C37" s="78" t="s">
        <v>101</v>
      </c>
    </row>
    <row r="38" ht="15.75" customHeight="1">
      <c r="A38" s="12" t="s">
        <v>120</v>
      </c>
      <c r="B38" s="12" t="s">
        <v>35</v>
      </c>
      <c r="C38" s="78" t="s">
        <v>101</v>
      </c>
    </row>
    <row r="39" ht="15.75" customHeight="1">
      <c r="A39" s="12" t="s">
        <v>121</v>
      </c>
      <c r="B39" s="12" t="s">
        <v>35</v>
      </c>
      <c r="C39" s="78" t="s">
        <v>101</v>
      </c>
    </row>
    <row r="40" ht="15.75" customHeight="1">
      <c r="A40" s="12" t="s">
        <v>122</v>
      </c>
      <c r="B40" s="12" t="s">
        <v>35</v>
      </c>
      <c r="C40" s="78" t="s">
        <v>101</v>
      </c>
    </row>
    <row r="41" ht="15.75" customHeight="1">
      <c r="A41" s="12" t="s">
        <v>123</v>
      </c>
      <c r="B41" s="12" t="s">
        <v>35</v>
      </c>
      <c r="C41" s="78" t="s">
        <v>101</v>
      </c>
    </row>
    <row r="42" ht="15.75" customHeight="1">
      <c r="A42" s="12" t="s">
        <v>124</v>
      </c>
      <c r="B42" s="12" t="s">
        <v>35</v>
      </c>
      <c r="C42" s="78" t="s">
        <v>101</v>
      </c>
    </row>
    <row r="43" ht="15.75" customHeight="1">
      <c r="A43" s="12" t="s">
        <v>125</v>
      </c>
      <c r="B43" s="12" t="s">
        <v>35</v>
      </c>
      <c r="C43" s="78" t="s">
        <v>101</v>
      </c>
    </row>
    <row r="44" ht="15.75" customHeight="1">
      <c r="A44" s="12" t="s">
        <v>126</v>
      </c>
      <c r="B44" s="12" t="s">
        <v>35</v>
      </c>
      <c r="C44" s="78" t="s">
        <v>101</v>
      </c>
    </row>
    <row r="45" ht="15.75" customHeight="1">
      <c r="A45" s="12" t="s">
        <v>127</v>
      </c>
      <c r="B45" s="12" t="s">
        <v>35</v>
      </c>
      <c r="C45" s="78" t="s">
        <v>101</v>
      </c>
    </row>
    <row r="46" ht="15.75" customHeight="1">
      <c r="A46" s="12" t="s">
        <v>128</v>
      </c>
      <c r="B46" s="12" t="s">
        <v>35</v>
      </c>
      <c r="C46" s="78" t="s">
        <v>101</v>
      </c>
    </row>
    <row r="47" ht="15.75" customHeight="1">
      <c r="A47" s="12" t="s">
        <v>129</v>
      </c>
      <c r="B47" s="12" t="s">
        <v>35</v>
      </c>
      <c r="C47" s="78" t="s">
        <v>101</v>
      </c>
    </row>
    <row r="48" ht="15.75" customHeight="1">
      <c r="A48" s="12" t="s">
        <v>130</v>
      </c>
      <c r="B48" s="12" t="s">
        <v>131</v>
      </c>
      <c r="C48" s="78" t="s">
        <v>132</v>
      </c>
    </row>
    <row r="49" ht="15.75" customHeight="1">
      <c r="A49" s="12" t="s">
        <v>133</v>
      </c>
      <c r="B49" s="12" t="s">
        <v>131</v>
      </c>
      <c r="C49" s="78" t="s">
        <v>132</v>
      </c>
    </row>
    <row r="50" ht="15.75" customHeight="1">
      <c r="A50" s="12" t="s">
        <v>134</v>
      </c>
      <c r="B50" s="12" t="s">
        <v>131</v>
      </c>
      <c r="C50" s="78" t="s">
        <v>132</v>
      </c>
    </row>
    <row r="51" ht="15.75" customHeight="1">
      <c r="A51" s="12" t="s">
        <v>135</v>
      </c>
      <c r="B51" s="12" t="s">
        <v>131</v>
      </c>
      <c r="C51" s="78" t="s">
        <v>132</v>
      </c>
    </row>
    <row r="52" ht="15.75" customHeight="1">
      <c r="A52" s="12" t="s">
        <v>136</v>
      </c>
      <c r="B52" s="12" t="s">
        <v>131</v>
      </c>
      <c r="C52" s="78" t="s">
        <v>132</v>
      </c>
    </row>
    <row r="53" ht="15.75" customHeight="1">
      <c r="A53" s="12" t="s">
        <v>137</v>
      </c>
      <c r="B53" s="12" t="s">
        <v>131</v>
      </c>
      <c r="C53" s="78" t="s">
        <v>132</v>
      </c>
    </row>
    <row r="54" ht="15.75" customHeight="1">
      <c r="A54" s="12" t="s">
        <v>138</v>
      </c>
      <c r="B54" s="12" t="s">
        <v>131</v>
      </c>
      <c r="C54" s="78" t="s">
        <v>132</v>
      </c>
    </row>
    <row r="55" ht="15.75" customHeight="1">
      <c r="A55" s="12" t="s">
        <v>139</v>
      </c>
      <c r="B55" s="12" t="s">
        <v>131</v>
      </c>
      <c r="C55" s="78" t="s">
        <v>132</v>
      </c>
    </row>
    <row r="56" ht="15.75" customHeight="1">
      <c r="A56" s="12" t="s">
        <v>140</v>
      </c>
      <c r="B56" s="12" t="s">
        <v>131</v>
      </c>
      <c r="C56" s="78" t="s">
        <v>132</v>
      </c>
    </row>
    <row r="57" ht="15.75" customHeight="1">
      <c r="A57" s="12" t="s">
        <v>141</v>
      </c>
      <c r="B57" s="12" t="s">
        <v>131</v>
      </c>
      <c r="C57" s="78" t="s">
        <v>132</v>
      </c>
    </row>
    <row r="58" ht="15.75" customHeight="1">
      <c r="A58" s="12" t="s">
        <v>142</v>
      </c>
      <c r="B58" s="12" t="s">
        <v>131</v>
      </c>
      <c r="C58" s="78" t="s">
        <v>132</v>
      </c>
    </row>
    <row r="59" ht="15.75" customHeight="1">
      <c r="A59" s="12" t="s">
        <v>143</v>
      </c>
      <c r="B59" s="12" t="s">
        <v>131</v>
      </c>
      <c r="C59" s="78" t="s">
        <v>132</v>
      </c>
    </row>
    <row r="60" ht="15.75" customHeight="1">
      <c r="A60" s="12" t="s">
        <v>144</v>
      </c>
      <c r="B60" s="12" t="s">
        <v>131</v>
      </c>
      <c r="C60" s="78" t="s">
        <v>132</v>
      </c>
    </row>
    <row r="61" ht="15.75" customHeight="1">
      <c r="A61" s="12" t="s">
        <v>145</v>
      </c>
      <c r="B61" s="12" t="s">
        <v>131</v>
      </c>
      <c r="C61" s="78" t="s">
        <v>132</v>
      </c>
    </row>
    <row r="62" ht="15.75" customHeight="1">
      <c r="A62" s="12" t="s">
        <v>146</v>
      </c>
      <c r="B62" s="12" t="s">
        <v>131</v>
      </c>
      <c r="C62" s="78" t="s">
        <v>132</v>
      </c>
    </row>
    <row r="63" ht="15.75" customHeight="1">
      <c r="A63" s="12" t="s">
        <v>147</v>
      </c>
      <c r="B63" s="12" t="s">
        <v>131</v>
      </c>
      <c r="C63" s="78" t="s">
        <v>132</v>
      </c>
    </row>
    <row r="64" ht="15.75" customHeight="1">
      <c r="A64" s="12" t="s">
        <v>148</v>
      </c>
      <c r="B64" s="12" t="s">
        <v>131</v>
      </c>
      <c r="C64" s="78" t="s">
        <v>132</v>
      </c>
    </row>
    <row r="65" ht="15.75" customHeight="1">
      <c r="A65" s="12" t="s">
        <v>149</v>
      </c>
      <c r="B65" s="12" t="s">
        <v>131</v>
      </c>
      <c r="C65" s="78" t="s">
        <v>132</v>
      </c>
    </row>
    <row r="66" ht="15.75" customHeight="1">
      <c r="A66" s="12" t="s">
        <v>150</v>
      </c>
      <c r="B66" s="12" t="s">
        <v>131</v>
      </c>
      <c r="C66" s="78" t="s">
        <v>132</v>
      </c>
    </row>
    <row r="67" ht="15.75" customHeight="1">
      <c r="A67" s="12" t="s">
        <v>151</v>
      </c>
      <c r="B67" s="12" t="s">
        <v>131</v>
      </c>
      <c r="C67" s="78" t="s">
        <v>132</v>
      </c>
    </row>
    <row r="68" ht="15.75" customHeight="1">
      <c r="A68" s="12" t="s">
        <v>152</v>
      </c>
      <c r="B68" s="12" t="s">
        <v>131</v>
      </c>
      <c r="C68" s="78" t="s">
        <v>132</v>
      </c>
    </row>
    <row r="69" ht="15.75" customHeight="1">
      <c r="A69" s="12" t="s">
        <v>153</v>
      </c>
      <c r="B69" s="12" t="s">
        <v>131</v>
      </c>
      <c r="C69" s="78" t="s">
        <v>132</v>
      </c>
    </row>
    <row r="70" ht="15.75" customHeight="1">
      <c r="A70" s="12" t="s">
        <v>154</v>
      </c>
      <c r="B70" s="12" t="s">
        <v>131</v>
      </c>
      <c r="C70" s="78" t="s">
        <v>132</v>
      </c>
    </row>
    <row r="71" ht="15.75" customHeight="1">
      <c r="A71" s="12" t="s">
        <v>155</v>
      </c>
      <c r="B71" s="12" t="s">
        <v>131</v>
      </c>
      <c r="C71" s="78" t="s">
        <v>132</v>
      </c>
    </row>
    <row r="72" ht="15.75" customHeight="1">
      <c r="A72" s="12" t="s">
        <v>156</v>
      </c>
      <c r="B72" s="12" t="s">
        <v>131</v>
      </c>
      <c r="C72" s="78" t="s">
        <v>132</v>
      </c>
    </row>
    <row r="73" ht="15.75" customHeight="1">
      <c r="A73" s="12" t="s">
        <v>157</v>
      </c>
      <c r="B73" s="12" t="s">
        <v>131</v>
      </c>
      <c r="C73" s="78" t="s">
        <v>132</v>
      </c>
    </row>
    <row r="74" ht="15.75" customHeight="1">
      <c r="A74" s="12" t="s">
        <v>158</v>
      </c>
      <c r="B74" s="12" t="s">
        <v>131</v>
      </c>
      <c r="C74" s="78" t="s">
        <v>132</v>
      </c>
    </row>
    <row r="75" ht="15.75" customHeight="1">
      <c r="A75" s="12" t="s">
        <v>159</v>
      </c>
      <c r="B75" s="12" t="s">
        <v>131</v>
      </c>
      <c r="C75" s="78" t="s">
        <v>132</v>
      </c>
    </row>
    <row r="76" ht="15.75" customHeight="1">
      <c r="A76" s="12" t="s">
        <v>160</v>
      </c>
      <c r="B76" s="12" t="s">
        <v>131</v>
      </c>
      <c r="C76" s="78" t="s">
        <v>132</v>
      </c>
    </row>
    <row r="77" ht="15.75" customHeight="1">
      <c r="A77" s="12" t="s">
        <v>161</v>
      </c>
      <c r="B77" s="12" t="s">
        <v>131</v>
      </c>
      <c r="C77" s="78" t="s">
        <v>132</v>
      </c>
    </row>
    <row r="78" ht="15.75" customHeight="1">
      <c r="A78" s="21"/>
      <c r="B78" s="21"/>
      <c r="C78" s="73"/>
    </row>
    <row r="79" ht="15.75" customHeight="1">
      <c r="A79" s="21"/>
      <c r="B79" s="21"/>
      <c r="C79" s="73"/>
    </row>
    <row r="80" ht="15.75" customHeight="1">
      <c r="A80" s="21"/>
      <c r="B80" s="21"/>
      <c r="C80" s="73"/>
    </row>
    <row r="81" ht="15.75" customHeight="1">
      <c r="A81" s="21"/>
      <c r="B81" s="21"/>
      <c r="C81" s="73"/>
    </row>
    <row r="82" ht="15.75" customHeight="1">
      <c r="A82" s="21"/>
      <c r="B82" s="21"/>
      <c r="C82" s="73"/>
    </row>
    <row r="83" ht="15.75" customHeight="1">
      <c r="A83" s="21"/>
      <c r="B83" s="21"/>
      <c r="C83" s="73"/>
    </row>
    <row r="84" ht="15.75" customHeight="1">
      <c r="A84" s="21"/>
      <c r="B84" s="21"/>
      <c r="C84" s="73"/>
    </row>
    <row r="85" ht="15.75" customHeight="1">
      <c r="A85" s="21"/>
      <c r="B85" s="21"/>
      <c r="C85" s="73"/>
    </row>
    <row r="86" ht="15.75" customHeight="1">
      <c r="A86" s="21"/>
      <c r="B86" s="21"/>
      <c r="C86" s="73"/>
    </row>
    <row r="87" ht="15.75" customHeight="1">
      <c r="A87" s="21"/>
      <c r="B87" s="21"/>
      <c r="C87" s="73"/>
    </row>
    <row r="88" ht="15.75" customHeight="1">
      <c r="A88" s="21"/>
      <c r="B88" s="21"/>
      <c r="C88" s="73"/>
    </row>
    <row r="89" ht="15.75" customHeight="1">
      <c r="A89" s="21"/>
      <c r="B89" s="21"/>
      <c r="C89" s="73"/>
    </row>
    <row r="90" ht="15.75" customHeight="1">
      <c r="A90" s="21"/>
      <c r="B90" s="21"/>
      <c r="C90" s="73"/>
    </row>
    <row r="91" ht="15.75" customHeight="1">
      <c r="A91" s="21"/>
      <c r="B91" s="21"/>
      <c r="C91" s="73"/>
    </row>
    <row r="92" ht="15.75" customHeight="1">
      <c r="A92" s="21"/>
      <c r="B92" s="21"/>
      <c r="C92" s="73"/>
    </row>
    <row r="93" ht="15.75" customHeight="1">
      <c r="A93" s="21"/>
      <c r="B93" s="21"/>
      <c r="C93" s="73"/>
    </row>
    <row r="94" ht="15.75" customHeight="1">
      <c r="A94" s="21"/>
      <c r="B94" s="21"/>
      <c r="C94" s="73"/>
    </row>
    <row r="95" ht="15.75" customHeight="1">
      <c r="A95" s="21"/>
      <c r="B95" s="21"/>
      <c r="C95" s="73"/>
    </row>
    <row r="96" ht="15.75" customHeight="1">
      <c r="A96" s="21"/>
      <c r="B96" s="21"/>
      <c r="C96" s="73"/>
    </row>
    <row r="97" ht="15.75" customHeight="1">
      <c r="A97" s="21"/>
      <c r="B97" s="21"/>
      <c r="C97" s="73"/>
    </row>
    <row r="98" ht="15.75" customHeight="1">
      <c r="A98" s="21"/>
      <c r="B98" s="21"/>
      <c r="C98" s="73"/>
    </row>
    <row r="99" ht="15.75" customHeight="1">
      <c r="A99" s="21"/>
      <c r="B99" s="21"/>
      <c r="C99" s="73"/>
    </row>
    <row r="100" ht="15.75" customHeight="1">
      <c r="A100" s="21"/>
      <c r="B100" s="21"/>
      <c r="C100" s="73"/>
    </row>
    <row r="101" ht="15.75" customHeight="1">
      <c r="A101" s="21"/>
      <c r="B101" s="21"/>
      <c r="C101" s="73"/>
    </row>
    <row r="102" ht="15.75" customHeight="1">
      <c r="A102" s="21"/>
      <c r="B102" s="21"/>
      <c r="C102" s="73"/>
    </row>
    <row r="103" ht="15.75" customHeight="1">
      <c r="A103" s="21"/>
      <c r="B103" s="21"/>
      <c r="C103" s="73"/>
    </row>
    <row r="104" ht="15.75" customHeight="1">
      <c r="A104" s="21"/>
      <c r="B104" s="21"/>
      <c r="C104" s="73"/>
    </row>
    <row r="105" ht="15.75" customHeight="1">
      <c r="A105" s="21"/>
      <c r="B105" s="21"/>
      <c r="C105" s="73"/>
    </row>
    <row r="106" ht="15.75" customHeight="1">
      <c r="A106" s="21"/>
      <c r="B106" s="21"/>
      <c r="C106" s="73"/>
    </row>
    <row r="107" ht="15.75" customHeight="1">
      <c r="A107" s="21"/>
      <c r="B107" s="21"/>
      <c r="C107" s="73"/>
    </row>
    <row r="108" ht="15.75" customHeight="1">
      <c r="A108" s="21"/>
      <c r="B108" s="21"/>
      <c r="C108" s="73"/>
    </row>
    <row r="109" ht="15.75" customHeight="1">
      <c r="A109" s="21"/>
      <c r="B109" s="21"/>
      <c r="C109" s="73"/>
    </row>
    <row r="110" ht="15.75" customHeight="1">
      <c r="A110" s="21"/>
      <c r="B110" s="21"/>
      <c r="C110" s="73"/>
    </row>
    <row r="111" ht="15.75" customHeight="1">
      <c r="A111" s="21"/>
      <c r="B111" s="21"/>
      <c r="C111" s="73"/>
    </row>
    <row r="112" ht="15.75" customHeight="1">
      <c r="A112" s="21"/>
      <c r="B112" s="21"/>
      <c r="C112" s="73"/>
    </row>
    <row r="113" ht="15.75" customHeight="1">
      <c r="A113" s="21"/>
      <c r="B113" s="21"/>
      <c r="C113" s="73"/>
    </row>
    <row r="114" ht="15.75" customHeight="1">
      <c r="A114" s="21"/>
      <c r="B114" s="21"/>
      <c r="C114" s="73"/>
    </row>
    <row r="115" ht="15.75" customHeight="1">
      <c r="A115" s="21"/>
      <c r="B115" s="21"/>
      <c r="C115" s="73"/>
    </row>
    <row r="116" ht="15.75" customHeight="1">
      <c r="A116" s="21"/>
      <c r="B116" s="21"/>
      <c r="C116" s="73"/>
    </row>
    <row r="117" ht="15.75" customHeight="1">
      <c r="A117" s="21"/>
      <c r="B117" s="21"/>
      <c r="C117" s="73"/>
    </row>
    <row r="118" ht="15.75" customHeight="1">
      <c r="A118" s="21"/>
      <c r="B118" s="21"/>
      <c r="C118" s="73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dataValidations>
    <dataValidation type="list" allowBlank="1" sqref="B5:B118">
      <formula1>LISTAS!$A$2:$A$8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79" t="s">
        <v>162</v>
      </c>
      <c r="C1" s="79" t="s">
        <v>163</v>
      </c>
    </row>
    <row r="2">
      <c r="A2" s="79" t="s">
        <v>164</v>
      </c>
      <c r="C2" s="79" t="s">
        <v>165</v>
      </c>
    </row>
    <row r="3">
      <c r="A3" s="79" t="s">
        <v>131</v>
      </c>
      <c r="C3" s="79" t="s">
        <v>166</v>
      </c>
    </row>
    <row r="4">
      <c r="A4" s="79" t="s">
        <v>35</v>
      </c>
    </row>
    <row r="5">
      <c r="A5" s="79" t="s">
        <v>36</v>
      </c>
    </row>
    <row r="6">
      <c r="A6" s="79" t="s">
        <v>38</v>
      </c>
    </row>
    <row r="7">
      <c r="A7" s="79" t="s">
        <v>167</v>
      </c>
    </row>
    <row r="8">
      <c r="A8" s="79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